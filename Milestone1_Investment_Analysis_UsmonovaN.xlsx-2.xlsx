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66925"/>
  <xr:revisionPtr revIDLastSave="0" documentId="8_{065959FE-8BB8-40B1-8B27-0B8D342D035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rice" sheetId="1" r:id="rId1"/>
    <sheet name="Return" sheetId="2" r:id="rId2"/>
    <sheet name="Descr" sheetId="3" r:id="rId3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3" i="2" l="1"/>
  <c r="H243" i="2"/>
  <c r="I208" i="2"/>
  <c r="F208" i="2"/>
  <c r="I146" i="2"/>
  <c r="F146" i="2"/>
  <c r="I82" i="2"/>
  <c r="F82" i="2"/>
  <c r="I21" i="2"/>
  <c r="F21" i="2"/>
  <c r="F4" i="2"/>
  <c r="H4" i="2"/>
  <c r="H11" i="3"/>
  <c r="H10" i="3"/>
  <c r="G10" i="3"/>
  <c r="G11" i="3"/>
  <c r="H12" i="3"/>
  <c r="G12" i="3"/>
  <c r="H19" i="3"/>
  <c r="G19" i="3"/>
  <c r="H18" i="3"/>
  <c r="G18" i="3"/>
  <c r="H17" i="3"/>
  <c r="G17" i="3"/>
  <c r="H16" i="3"/>
  <c r="G16" i="3"/>
  <c r="H5" i="3"/>
  <c r="G5" i="3"/>
  <c r="H4" i="3"/>
  <c r="H6" i="3" s="1"/>
  <c r="G4" i="3"/>
  <c r="G6" i="3" s="1"/>
  <c r="F3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4" i="2"/>
  <c r="F245" i="2"/>
  <c r="F2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4" i="2"/>
  <c r="E245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4" i="2"/>
  <c r="H245" i="2"/>
  <c r="H3" i="2"/>
  <c r="H2" i="2"/>
  <c r="I2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4" i="2"/>
  <c r="I245" i="2"/>
  <c r="I4" i="2"/>
  <c r="I5" i="2"/>
  <c r="I6" i="2"/>
  <c r="I7" i="2"/>
  <c r="I3" i="2"/>
  <c r="F243" i="2"/>
  <c r="H146" i="2"/>
  <c r="H82" i="2"/>
  <c r="H21" i="2"/>
  <c r="H208" i="2"/>
  <c r="E208" i="2"/>
  <c r="E82" i="2"/>
  <c r="E21" i="2"/>
  <c r="E146" i="2"/>
  <c r="I243" i="2"/>
</calcChain>
</file>

<file path=xl/sharedStrings.xml><?xml version="1.0" encoding="utf-8"?>
<sst xmlns="http://schemas.openxmlformats.org/spreadsheetml/2006/main" count="32" uniqueCount="22">
  <si>
    <t>Date</t>
  </si>
  <si>
    <r>
      <rPr>
        <b/>
        <sz val="11"/>
        <color rgb="FF000000"/>
        <rFont val="Calibri"/>
      </rPr>
      <t xml:space="preserve">Adj Close - </t>
    </r>
    <r>
      <rPr>
        <b/>
        <sz val="11"/>
        <color rgb="FFFF0000"/>
        <rFont val="Calibri"/>
      </rPr>
      <t>Apple</t>
    </r>
  </si>
  <si>
    <r>
      <rPr>
        <b/>
        <sz val="11"/>
        <color rgb="FF000000"/>
        <rFont val="Calibri"/>
      </rPr>
      <t xml:space="preserve">Adj Close - </t>
    </r>
    <r>
      <rPr>
        <b/>
        <sz val="11"/>
        <color rgb="FFFF0000"/>
        <rFont val="Calibri"/>
      </rPr>
      <t>Pandora</t>
    </r>
  </si>
  <si>
    <r>
      <rPr>
        <sz val="11"/>
        <color rgb="FF000000"/>
        <rFont val="Calibri"/>
        <scheme val="minor"/>
      </rPr>
      <t xml:space="preserve">I selected my favorite companies, </t>
    </r>
    <r>
      <rPr>
        <b/>
        <sz val="11"/>
        <color rgb="FF000000"/>
        <rFont val="Calibri"/>
        <scheme val="minor"/>
      </rPr>
      <t>Apple and Pandora</t>
    </r>
    <r>
      <rPr>
        <sz val="11"/>
        <color rgb="FF000000"/>
        <rFont val="Calibri"/>
        <scheme val="minor"/>
      </rPr>
      <t>, to make the research as interesting as possible</t>
    </r>
  </si>
  <si>
    <t>APPL</t>
  </si>
  <si>
    <t>PNDORA</t>
  </si>
  <si>
    <t>Apple Return</t>
  </si>
  <si>
    <t>Pandora Return</t>
  </si>
  <si>
    <t>both types</t>
  </si>
  <si>
    <t>Descriptive Statistics</t>
  </si>
  <si>
    <t>APPLE</t>
  </si>
  <si>
    <t>PANDORA</t>
  </si>
  <si>
    <t>Max</t>
  </si>
  <si>
    <t>Min</t>
  </si>
  <si>
    <t>Range:</t>
  </si>
  <si>
    <t>Q3</t>
  </si>
  <si>
    <t>Q1</t>
  </si>
  <si>
    <t>IQR, Interquartile range= q3-q1 </t>
  </si>
  <si>
    <t>Mean</t>
  </si>
  <si>
    <t>Mean Absolute Deviation</t>
  </si>
  <si>
    <t>Sample Variance</t>
  </si>
  <si>
    <t>Sample 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</si>
</sst>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</font>
    <font>
      <sz val="10"/>
      <color rgb="FF000000"/>
      <name val="Aptos Narrow"/>
    </font>
    <font>
      <sz val="11"/>
      <color rgb="FFFF0000"/>
      <name val="Calibri"/>
      <family val="2"/>
      <scheme val="minor"/>
    </font>
    <font>
      <sz val="11"/>
      <color rgb="FFFF0000"/>
      <name val="Calibri"/>
      <charset val="1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  <family val="2"/>
      <scheme val="minor"/>
    </font>
    <font>
      <sz val="10"/>
      <color theme="1"/>
      <name val="Aptos Narrow"/>
      <charset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charset val="1"/>
    </font>
    <font>
      <sz val="12"/>
      <color theme="1"/>
      <name val="Aptos Narrow"/>
      <charset val="1"/>
    </font>
    <font>
      <b/>
      <sz val="12"/>
      <color theme="1"/>
      <name val="Arial"/>
      <charset val="1"/>
    </font>
    <font>
      <b/>
      <sz val="12"/>
      <color rgb="FF000000"/>
      <name val="Calibri"/>
      <family val="2"/>
      <scheme val="minor"/>
    </font>
    <font>
      <sz val="12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rgb="FFFF0000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7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15" fontId="11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0" fontId="11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10" fontId="12" fillId="3" borderId="0" xfId="0" applyNumberFormat="1" applyFont="1" applyFill="1" applyAlignment="1">
      <alignment horizontal="center"/>
    </xf>
    <xf numFmtId="0" fontId="0" fillId="0" borderId="0" xfId="0" applyBorder="1" applyAlignment="1">
      <alignment horizontal="center"/>
    </xf>
    <xf numFmtId="0" fontId="13" fillId="0" borderId="0" xfId="0" applyFont="1" applyBorder="1" applyAlignment="1">
      <alignment readingOrder="1"/>
    </xf>
    <xf numFmtId="0" fontId="14" fillId="0" borderId="0" xfId="0" applyFont="1" applyAlignment="1">
      <alignment horizontal="center"/>
    </xf>
    <xf numFmtId="0" fontId="15" fillId="7" borderId="0" xfId="0" applyFont="1" applyFill="1" applyAlignment="1">
      <alignment horizontal="center"/>
    </xf>
    <xf numFmtId="0" fontId="14" fillId="0" borderId="0" xfId="0" applyFont="1" applyBorder="1" applyAlignment="1">
      <alignment horizontal="center"/>
    </xf>
    <xf numFmtId="0" fontId="17" fillId="0" borderId="0" xfId="0" applyFont="1" applyBorder="1" applyAlignment="1">
      <alignment readingOrder="1"/>
    </xf>
    <xf numFmtId="0" fontId="16" fillId="0" borderId="0" xfId="0" applyFont="1" applyBorder="1" applyAlignment="1">
      <alignment readingOrder="1"/>
    </xf>
    <xf numFmtId="0" fontId="14" fillId="7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8" borderId="5" xfId="0" applyFont="1" applyFill="1" applyBorder="1" applyAlignment="1">
      <alignment horizontal="center"/>
    </xf>
    <xf numFmtId="0" fontId="15" fillId="8" borderId="6" xfId="0" applyFont="1" applyFill="1" applyBorder="1" applyAlignment="1">
      <alignment horizontal="center"/>
    </xf>
    <xf numFmtId="0" fontId="18" fillId="8" borderId="5" xfId="0" applyFont="1" applyFill="1" applyBorder="1" applyAlignment="1">
      <alignment horizontal="center" wrapText="1" readingOrder="1"/>
    </xf>
    <xf numFmtId="0" fontId="18" fillId="8" borderId="6" xfId="0" applyFont="1" applyFill="1" applyBorder="1" applyAlignment="1">
      <alignment horizontal="center" wrapText="1" readingOrder="1"/>
    </xf>
    <xf numFmtId="0" fontId="18" fillId="8" borderId="6" xfId="0" applyFont="1" applyFill="1" applyBorder="1" applyAlignment="1">
      <alignment horizontal="center" readingOrder="1"/>
    </xf>
    <xf numFmtId="0" fontId="19" fillId="8" borderId="6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1" fillId="6" borderId="7" xfId="0" applyFont="1" applyFill="1" applyBorder="1" applyAlignment="1">
      <alignment horizontal="center"/>
    </xf>
    <xf numFmtId="10" fontId="20" fillId="0" borderId="1" xfId="0" applyNumberFormat="1" applyFont="1" applyBorder="1" applyAlignment="1">
      <alignment horizontal="center"/>
    </xf>
    <xf numFmtId="10" fontId="20" fillId="3" borderId="1" xfId="0" applyNumberFormat="1" applyFont="1" applyFill="1" applyBorder="1" applyAlignment="1">
      <alignment horizontal="center"/>
    </xf>
    <xf numFmtId="10" fontId="20" fillId="0" borderId="0" xfId="0" applyNumberFormat="1" applyFont="1" applyAlignment="1">
      <alignment horizontal="center"/>
    </xf>
    <xf numFmtId="10" fontId="20" fillId="0" borderId="1" xfId="0" applyNumberFormat="1" applyFont="1" applyBorder="1" applyAlignment="1">
      <alignment horizontal="center" readingOrder="1"/>
    </xf>
    <xf numFmtId="10" fontId="20" fillId="3" borderId="1" xfId="0" applyNumberFormat="1" applyFont="1" applyFill="1" applyBorder="1" applyAlignment="1">
      <alignment horizontal="center" readingOrder="1"/>
    </xf>
    <xf numFmtId="0" fontId="2" fillId="0" borderId="0" xfId="0" applyFont="1" applyAlignment="1">
      <alignment horizontal="center"/>
    </xf>
    <xf numFmtId="0" fontId="21" fillId="6" borderId="2" xfId="0" applyFont="1" applyFill="1" applyBorder="1" applyAlignment="1">
      <alignment horizontal="center"/>
    </xf>
    <xf numFmtId="10" fontId="20" fillId="0" borderId="4" xfId="0" applyNumberFormat="1" applyFont="1" applyBorder="1" applyAlignment="1">
      <alignment horizontal="center" readingOrder="1"/>
    </xf>
    <xf numFmtId="10" fontId="20" fillId="0" borderId="3" xfId="0" applyNumberFormat="1" applyFont="1" applyBorder="1" applyAlignment="1">
      <alignment horizontal="center" readingOrder="1"/>
    </xf>
    <xf numFmtId="10" fontId="25" fillId="7" borderId="0" xfId="0" applyNumberFormat="1" applyFont="1" applyFill="1" applyAlignment="1">
      <alignment horizontal="center"/>
    </xf>
    <xf numFmtId="0" fontId="4" fillId="0" borderId="0" xfId="0" applyFont="1" applyBorder="1" applyAlignment="1">
      <alignment horizontal="center"/>
    </xf>
    <xf numFmtId="0" fontId="3" fillId="0" borderId="0" xfId="1" applyBorder="1" applyAlignment="1">
      <alignment horizontal="center" wrapText="1"/>
    </xf>
    <xf numFmtId="10" fontId="8" fillId="5" borderId="0" xfId="0" applyNumberFormat="1" applyFont="1" applyFill="1" applyAlignment="1">
      <alignment horizontal="center"/>
    </xf>
    <xf numFmtId="10" fontId="9" fillId="5" borderId="0" xfId="0" applyNumberFormat="1" applyFont="1" applyFill="1" applyAlignment="1">
      <alignment horizontal="center"/>
    </xf>
    <xf numFmtId="10" fontId="9" fillId="7" borderId="0" xfId="0" applyNumberFormat="1" applyFont="1" applyFill="1" applyAlignment="1">
      <alignment horizontal="center"/>
    </xf>
    <xf numFmtId="10" fontId="8" fillId="6" borderId="0" xfId="0" applyNumberFormat="1" applyFont="1" applyFill="1" applyAlignment="1">
      <alignment horizontal="center"/>
    </xf>
    <xf numFmtId="15" fontId="5" fillId="0" borderId="0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10" fontId="0" fillId="3" borderId="0" xfId="0" applyNumberFormat="1" applyFill="1" applyAlignment="1">
      <alignment horizontal="center"/>
    </xf>
    <xf numFmtId="10" fontId="0" fillId="7" borderId="0" xfId="0" applyNumberFormat="1" applyFill="1" applyAlignment="1">
      <alignment horizontal="center"/>
    </xf>
    <xf numFmtId="10" fontId="0" fillId="4" borderId="0" xfId="0" applyNumberFormat="1" applyFill="1" applyAlignment="1">
      <alignment horizontal="center"/>
    </xf>
    <xf numFmtId="4" fontId="5" fillId="0" borderId="0" xfId="0" applyNumberFormat="1" applyFont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10" fillId="0" borderId="0" xfId="0" applyFont="1" applyBorder="1" applyAlignment="1">
      <alignment horizontal="center" wrapText="1"/>
    </xf>
    <xf numFmtId="0" fontId="23" fillId="0" borderId="0" xfId="0" applyFont="1" applyAlignment="1">
      <alignment horizontal="center" wrapText="1"/>
    </xf>
    <xf numFmtId="0" fontId="2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0" fontId="1" fillId="0" borderId="1" xfId="0" applyNumberFormat="1" applyFont="1" applyBorder="1" applyAlignment="1">
      <alignment horizontal="center"/>
    </xf>
    <xf numFmtId="10" fontId="1" fillId="0" borderId="0" xfId="0" applyNumberFormat="1" applyFont="1" applyAlignment="1">
      <alignment horizontal="center"/>
    </xf>
  </cellXfs>
  <cellStyles count="2">
    <cellStyle name="Hyperlink" xfId="1" builtinId="8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4" formatCode="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8B4692-26B8-4928-B8FD-CED584BA7E2A}" name="Table1" displayName="Table1" ref="A1:C251" totalsRowShown="0" headerRowDxfId="4" dataDxfId="3">
  <autoFilter ref="A1:C251" xr:uid="{108B4692-26B8-4928-B8FD-CED584BA7E2A}"/>
  <tableColumns count="3">
    <tableColumn id="1" xr3:uid="{16D97538-8F6D-4FC2-A5EB-F584FCC9AE86}" name="Date" dataDxfId="2"/>
    <tableColumn id="2" xr3:uid="{C50D8326-94EC-4622-969C-0715CE5B65AB}" name="Adj Close - Apple" dataDxfId="1"/>
    <tableColumn id="3" xr3:uid="{BF8D4DF3-A02C-4E4F-BD04-52372C80DE4F}" name="Adj Close - Pandora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1drv.ms/x/c/d8ec10b80b12c942/IQDk5N8pezfNTKEtvTYPerAkAd-38cCFnrHHXIVzpL2q7vw?e=VD4pEo&amp;nav=MTJfQzFfezAwMDAwMDAwLTAwMDEtMDAwMC0wMDAwLTAwMDAwMDAwMDAwMH0" TargetMode="External"/><Relationship Id="rId1" Type="http://schemas.openxmlformats.org/officeDocument/2006/relationships/hyperlink" Target="https://1drv.ms/x/c/d8ec10b80b12c942/IQDk5N8pezfNTKEtvTYPerAkAd-38cCFnrHHXIVzpL2q7vw?e=y9eO6X&amp;nav=MTJfQjFfezAwMDAwMDAwLTAwMDEtMDAwMC0wMDAwLTAwMDAwMDAwMDAwMH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8"/>
  <sheetViews>
    <sheetView tabSelected="1" workbookViewId="0">
      <selection activeCell="D7" sqref="D7:G8"/>
    </sheetView>
  </sheetViews>
  <sheetFormatPr defaultRowHeight="15"/>
  <cols>
    <col min="1" max="1" width="19.85546875" style="2" customWidth="1"/>
    <col min="2" max="2" width="22.7109375" style="2" customWidth="1"/>
    <col min="3" max="3" width="24.85546875" style="2" customWidth="1"/>
    <col min="4" max="8" width="9.140625" style="2"/>
    <col min="9" max="9" width="22.140625" style="2" customWidth="1"/>
    <col min="10" max="16384" width="9.140625" style="2"/>
  </cols>
  <sheetData>
    <row r="1" spans="1:7">
      <c r="A1" s="37" t="s">
        <v>0</v>
      </c>
      <c r="B1" s="51" t="s">
        <v>1</v>
      </c>
      <c r="C1" s="51" t="s">
        <v>2</v>
      </c>
    </row>
    <row r="2" spans="1:7">
      <c r="A2" s="43">
        <v>46091</v>
      </c>
      <c r="B2" s="44">
        <v>260.83</v>
      </c>
      <c r="C2" s="44">
        <v>479.5</v>
      </c>
    </row>
    <row r="3" spans="1:7">
      <c r="A3" s="43">
        <v>46090</v>
      </c>
      <c r="B3" s="44">
        <v>259.88</v>
      </c>
      <c r="C3" s="44">
        <v>486.5</v>
      </c>
    </row>
    <row r="4" spans="1:7">
      <c r="A4" s="43">
        <v>46087</v>
      </c>
      <c r="B4" s="44">
        <v>257.45999999999998</v>
      </c>
      <c r="C4" s="44">
        <v>493.6</v>
      </c>
    </row>
    <row r="5" spans="1:7">
      <c r="A5" s="43">
        <v>46086</v>
      </c>
      <c r="B5" s="44">
        <v>260.29000000000002</v>
      </c>
      <c r="C5" s="44">
        <v>498.3</v>
      </c>
    </row>
    <row r="6" spans="1:7" ht="8.25" customHeight="1">
      <c r="A6" s="43">
        <v>46085</v>
      </c>
      <c r="B6" s="44">
        <v>262.52</v>
      </c>
      <c r="C6" s="44">
        <v>485.5</v>
      </c>
    </row>
    <row r="7" spans="1:7" ht="15" customHeight="1">
      <c r="A7" s="43">
        <v>46084</v>
      </c>
      <c r="B7" s="44">
        <v>263.75</v>
      </c>
      <c r="C7" s="44">
        <v>482.8</v>
      </c>
      <c r="D7" s="52" t="s">
        <v>3</v>
      </c>
      <c r="E7" s="52"/>
      <c r="F7" s="52"/>
      <c r="G7" s="52"/>
    </row>
    <row r="8" spans="1:7" ht="33.75" customHeight="1">
      <c r="A8" s="43">
        <v>46083</v>
      </c>
      <c r="B8" s="44">
        <v>264.72000000000003</v>
      </c>
      <c r="C8" s="44">
        <v>486.2</v>
      </c>
      <c r="D8" s="52"/>
      <c r="E8" s="52"/>
      <c r="F8" s="52"/>
      <c r="G8" s="52"/>
    </row>
    <row r="9" spans="1:7" ht="15" customHeight="1">
      <c r="A9" s="43">
        <v>46080</v>
      </c>
      <c r="B9" s="44">
        <v>264.18</v>
      </c>
      <c r="C9" s="44">
        <v>500</v>
      </c>
    </row>
    <row r="10" spans="1:7">
      <c r="A10" s="43">
        <v>46079</v>
      </c>
      <c r="B10" s="44">
        <v>272.95</v>
      </c>
      <c r="C10" s="44">
        <v>516.20000000000005</v>
      </c>
    </row>
    <row r="11" spans="1:7">
      <c r="A11" s="43">
        <v>46078</v>
      </c>
      <c r="B11" s="44">
        <v>274.23</v>
      </c>
      <c r="C11" s="44">
        <v>500.4</v>
      </c>
    </row>
    <row r="12" spans="1:7">
      <c r="A12" s="43">
        <v>46077</v>
      </c>
      <c r="B12" s="44">
        <v>272.14</v>
      </c>
      <c r="C12" s="44">
        <v>526</v>
      </c>
    </row>
    <row r="13" spans="1:7">
      <c r="A13" s="43">
        <v>46076</v>
      </c>
      <c r="B13" s="44">
        <v>266.18</v>
      </c>
      <c r="C13" s="44">
        <v>519.6</v>
      </c>
    </row>
    <row r="14" spans="1:7">
      <c r="A14" s="43">
        <v>46073</v>
      </c>
      <c r="B14" s="44">
        <v>264.58</v>
      </c>
      <c r="C14" s="44">
        <v>547.4</v>
      </c>
    </row>
    <row r="15" spans="1:7">
      <c r="A15" s="43">
        <v>46072</v>
      </c>
      <c r="B15" s="44">
        <v>260.58</v>
      </c>
      <c r="C15" s="44">
        <v>526</v>
      </c>
    </row>
    <row r="16" spans="1:7">
      <c r="A16" s="43">
        <v>46071</v>
      </c>
      <c r="B16" s="44">
        <v>264.35000000000002</v>
      </c>
      <c r="C16" s="44">
        <v>535.20000000000005</v>
      </c>
    </row>
    <row r="17" spans="1:3">
      <c r="A17" s="43">
        <v>46070</v>
      </c>
      <c r="B17" s="44">
        <v>263.88</v>
      </c>
      <c r="C17" s="44">
        <v>535.20000000000005</v>
      </c>
    </row>
    <row r="18" spans="1:3">
      <c r="A18" s="43">
        <v>46069</v>
      </c>
      <c r="B18" s="44">
        <v>255.78</v>
      </c>
      <c r="C18" s="44">
        <v>538.79999999999995</v>
      </c>
    </row>
    <row r="19" spans="1:3">
      <c r="A19" s="43">
        <v>46066</v>
      </c>
      <c r="B19" s="44">
        <v>261.73</v>
      </c>
      <c r="C19" s="44">
        <v>539.79999999999995</v>
      </c>
    </row>
    <row r="20" spans="1:3">
      <c r="A20" s="43">
        <v>46065</v>
      </c>
      <c r="B20" s="44">
        <v>275.5</v>
      </c>
      <c r="C20" s="44">
        <v>536.6</v>
      </c>
    </row>
    <row r="21" spans="1:3">
      <c r="A21" s="43">
        <v>46064</v>
      </c>
      <c r="B21" s="44">
        <v>273.68</v>
      </c>
      <c r="C21" s="44">
        <v>534.4</v>
      </c>
    </row>
    <row r="22" spans="1:3">
      <c r="A22" s="43">
        <v>46063</v>
      </c>
      <c r="B22" s="44"/>
      <c r="C22" s="44">
        <v>555.6</v>
      </c>
    </row>
    <row r="23" spans="1:3">
      <c r="A23" s="43">
        <v>46062</v>
      </c>
      <c r="B23" s="44">
        <v>274.62</v>
      </c>
      <c r="C23" s="44">
        <v>536.6</v>
      </c>
    </row>
    <row r="24" spans="1:3">
      <c r="A24" s="43">
        <v>46059</v>
      </c>
      <c r="B24" s="44">
        <v>277.86</v>
      </c>
      <c r="C24" s="44">
        <v>570</v>
      </c>
    </row>
    <row r="25" spans="1:3">
      <c r="A25" s="43">
        <v>46058</v>
      </c>
      <c r="B25" s="44">
        <v>275.64999999999998</v>
      </c>
      <c r="C25" s="44">
        <v>541.20000000000005</v>
      </c>
    </row>
    <row r="26" spans="1:3">
      <c r="A26" s="43">
        <v>46057</v>
      </c>
      <c r="B26" s="44">
        <v>276.23</v>
      </c>
      <c r="C26" s="44">
        <v>512.6</v>
      </c>
    </row>
    <row r="27" spans="1:3">
      <c r="A27" s="43">
        <v>46056</v>
      </c>
      <c r="B27" s="44">
        <v>269.23</v>
      </c>
      <c r="C27" s="44">
        <v>504.2</v>
      </c>
    </row>
    <row r="28" spans="1:3">
      <c r="A28" s="43">
        <v>46055</v>
      </c>
      <c r="B28" s="44">
        <v>269.76</v>
      </c>
      <c r="C28" s="44">
        <v>555.6</v>
      </c>
    </row>
    <row r="29" spans="1:3">
      <c r="A29" s="43">
        <v>46052</v>
      </c>
      <c r="B29" s="44">
        <v>259.24</v>
      </c>
      <c r="C29" s="44">
        <v>509</v>
      </c>
    </row>
    <row r="30" spans="1:3">
      <c r="A30" s="43">
        <v>46051</v>
      </c>
      <c r="B30" s="44">
        <v>258.04000000000002</v>
      </c>
      <c r="C30" s="44">
        <v>485</v>
      </c>
    </row>
    <row r="31" spans="1:3">
      <c r="A31" s="43">
        <v>46050</v>
      </c>
      <c r="B31" s="44">
        <v>256.2</v>
      </c>
      <c r="C31" s="44">
        <v>487</v>
      </c>
    </row>
    <row r="32" spans="1:3">
      <c r="A32" s="43">
        <v>46049</v>
      </c>
      <c r="B32" s="44">
        <v>258.02999999999997</v>
      </c>
      <c r="C32" s="44">
        <v>493.5</v>
      </c>
    </row>
    <row r="33" spans="1:3">
      <c r="A33" s="43">
        <v>46048</v>
      </c>
      <c r="B33" s="44">
        <v>255.17</v>
      </c>
      <c r="C33" s="44">
        <v>487</v>
      </c>
    </row>
    <row r="34" spans="1:3">
      <c r="A34" s="43">
        <v>46045</v>
      </c>
      <c r="B34" s="44">
        <v>247.81</v>
      </c>
      <c r="C34" s="44">
        <v>505</v>
      </c>
    </row>
    <row r="35" spans="1:3">
      <c r="A35" s="43">
        <v>46044</v>
      </c>
      <c r="B35" s="44">
        <v>248.12</v>
      </c>
      <c r="C35" s="44">
        <v>509.8</v>
      </c>
    </row>
    <row r="36" spans="1:3">
      <c r="A36" s="43">
        <v>46043</v>
      </c>
      <c r="B36" s="44">
        <v>247.42</v>
      </c>
      <c r="C36" s="44">
        <v>517.4</v>
      </c>
    </row>
    <row r="37" spans="1:3">
      <c r="A37" s="43">
        <v>46042</v>
      </c>
      <c r="B37" s="44">
        <v>246.47</v>
      </c>
      <c r="C37" s="44">
        <v>515.79999999999995</v>
      </c>
    </row>
    <row r="38" spans="1:3">
      <c r="A38" s="43">
        <v>46041</v>
      </c>
      <c r="B38" s="44">
        <v>255.29</v>
      </c>
      <c r="C38" s="44">
        <v>519.6</v>
      </c>
    </row>
    <row r="39" spans="1:3">
      <c r="A39" s="43">
        <v>46038</v>
      </c>
      <c r="B39" s="44">
        <v>257.97000000000003</v>
      </c>
      <c r="C39" s="44">
        <v>550</v>
      </c>
    </row>
    <row r="40" spans="1:3">
      <c r="A40" s="43">
        <v>46037</v>
      </c>
      <c r="B40" s="44">
        <v>259.72000000000003</v>
      </c>
      <c r="C40" s="44">
        <v>545.79999999999995</v>
      </c>
    </row>
    <row r="41" spans="1:3">
      <c r="A41" s="43">
        <v>46036</v>
      </c>
      <c r="B41" s="44">
        <v>260.81</v>
      </c>
      <c r="C41" s="44">
        <v>555.6</v>
      </c>
    </row>
    <row r="42" spans="1:3">
      <c r="A42" s="43">
        <v>46035</v>
      </c>
      <c r="B42" s="44">
        <v>260.01</v>
      </c>
      <c r="C42" s="44">
        <v>572</v>
      </c>
    </row>
    <row r="43" spans="1:3">
      <c r="A43" s="43">
        <v>46034</v>
      </c>
      <c r="B43" s="44">
        <v>259.13</v>
      </c>
      <c r="C43" s="44">
        <v>571</v>
      </c>
    </row>
    <row r="44" spans="1:3">
      <c r="A44" s="43">
        <v>46031</v>
      </c>
      <c r="B44" s="44">
        <v>258.8</v>
      </c>
      <c r="C44" s="44">
        <v>588.4</v>
      </c>
    </row>
    <row r="45" spans="1:3">
      <c r="A45" s="43">
        <v>46030</v>
      </c>
      <c r="B45" s="44">
        <v>260.08999999999997</v>
      </c>
      <c r="C45" s="44">
        <v>676.4</v>
      </c>
    </row>
    <row r="46" spans="1:3">
      <c r="A46" s="43">
        <v>46029</v>
      </c>
      <c r="B46" s="44">
        <v>262.11</v>
      </c>
      <c r="C46" s="44">
        <v>662</v>
      </c>
    </row>
    <row r="47" spans="1:3">
      <c r="A47" s="43">
        <v>46028</v>
      </c>
      <c r="B47" s="44">
        <v>267.01</v>
      </c>
      <c r="C47" s="44">
        <v>680.8</v>
      </c>
    </row>
    <row r="48" spans="1:3">
      <c r="A48" s="43">
        <v>46027</v>
      </c>
      <c r="B48" s="44">
        <v>270.76</v>
      </c>
      <c r="C48" s="44">
        <v>677.2</v>
      </c>
    </row>
    <row r="49" spans="1:3">
      <c r="A49" s="43">
        <v>46024</v>
      </c>
      <c r="B49" s="44">
        <v>271.61</v>
      </c>
      <c r="C49" s="44">
        <v>695.6</v>
      </c>
    </row>
    <row r="50" spans="1:3">
      <c r="A50" s="43">
        <v>46021</v>
      </c>
      <c r="B50" s="44">
        <v>272.82</v>
      </c>
      <c r="C50" s="44">
        <v>707.6</v>
      </c>
    </row>
    <row r="51" spans="1:3">
      <c r="A51" s="43">
        <v>46020</v>
      </c>
      <c r="B51" s="44">
        <v>273.5</v>
      </c>
      <c r="C51" s="44">
        <v>703.4</v>
      </c>
    </row>
    <row r="52" spans="1:3">
      <c r="A52" s="43">
        <v>46014</v>
      </c>
      <c r="B52" s="44">
        <v>273.14</v>
      </c>
      <c r="C52" s="44">
        <v>703</v>
      </c>
    </row>
    <row r="53" spans="1:3">
      <c r="A53" s="43">
        <v>46013</v>
      </c>
      <c r="B53" s="44">
        <v>273.55</v>
      </c>
      <c r="C53" s="44">
        <v>702</v>
      </c>
    </row>
    <row r="54" spans="1:3">
      <c r="A54" s="43">
        <v>46010</v>
      </c>
      <c r="B54" s="44">
        <v>272.11</v>
      </c>
      <c r="C54" s="44">
        <v>699.2</v>
      </c>
    </row>
    <row r="55" spans="1:3">
      <c r="A55" s="43">
        <v>46009</v>
      </c>
      <c r="B55" s="44">
        <v>270.72000000000003</v>
      </c>
      <c r="C55" s="44">
        <v>699.6</v>
      </c>
    </row>
    <row r="56" spans="1:3">
      <c r="A56" s="43">
        <v>46008</v>
      </c>
      <c r="B56" s="44">
        <v>273.41000000000003</v>
      </c>
      <c r="C56" s="44">
        <v>694.2</v>
      </c>
    </row>
    <row r="57" spans="1:3">
      <c r="A57" s="43">
        <v>46007</v>
      </c>
      <c r="B57" s="44">
        <v>271.94</v>
      </c>
      <c r="C57" s="44">
        <v>713.8</v>
      </c>
    </row>
    <row r="58" spans="1:3">
      <c r="A58" s="43">
        <v>46006</v>
      </c>
      <c r="B58" s="44">
        <v>271.58999999999997</v>
      </c>
      <c r="C58" s="44">
        <v>692.2</v>
      </c>
    </row>
    <row r="59" spans="1:3">
      <c r="A59" s="43">
        <v>46003</v>
      </c>
      <c r="B59" s="44">
        <v>274.35000000000002</v>
      </c>
      <c r="C59" s="44">
        <v>698.8</v>
      </c>
    </row>
    <row r="60" spans="1:3">
      <c r="A60" s="43">
        <v>46002</v>
      </c>
      <c r="B60" s="44">
        <v>273.85000000000002</v>
      </c>
      <c r="C60" s="44">
        <v>707.4</v>
      </c>
    </row>
    <row r="61" spans="1:3">
      <c r="A61" s="43">
        <v>46001</v>
      </c>
      <c r="B61" s="44">
        <v>278.02</v>
      </c>
      <c r="C61" s="44">
        <v>706.8</v>
      </c>
    </row>
    <row r="62" spans="1:3">
      <c r="A62" s="43">
        <v>46000</v>
      </c>
      <c r="B62" s="44">
        <v>277.77</v>
      </c>
      <c r="C62" s="44">
        <v>721.6</v>
      </c>
    </row>
    <row r="63" spans="1:3">
      <c r="A63" s="43">
        <v>45999</v>
      </c>
      <c r="B63" s="44">
        <v>278.52</v>
      </c>
      <c r="C63" s="44">
        <v>728.4</v>
      </c>
    </row>
    <row r="64" spans="1:3">
      <c r="A64" s="43">
        <v>45996</v>
      </c>
      <c r="B64" s="44">
        <v>276.92</v>
      </c>
      <c r="C64" s="44">
        <v>740</v>
      </c>
    </row>
    <row r="65" spans="1:3">
      <c r="A65" s="43">
        <v>45995</v>
      </c>
      <c r="B65" s="44">
        <v>277.63</v>
      </c>
      <c r="C65" s="44">
        <v>736</v>
      </c>
    </row>
    <row r="66" spans="1:3">
      <c r="A66" s="43">
        <v>45994</v>
      </c>
      <c r="B66" s="44">
        <v>278.52</v>
      </c>
      <c r="C66" s="44">
        <v>725.6</v>
      </c>
    </row>
    <row r="67" spans="1:3">
      <c r="A67" s="43">
        <v>45993</v>
      </c>
      <c r="B67" s="44">
        <v>280.44</v>
      </c>
      <c r="C67" s="44">
        <v>742.8</v>
      </c>
    </row>
    <row r="68" spans="1:3">
      <c r="A68" s="43">
        <v>45992</v>
      </c>
      <c r="B68" s="44">
        <v>283.88</v>
      </c>
      <c r="C68" s="44">
        <v>769</v>
      </c>
    </row>
    <row r="69" spans="1:3">
      <c r="A69" s="43">
        <v>45989</v>
      </c>
      <c r="B69" s="44">
        <v>285.92</v>
      </c>
      <c r="C69" s="44">
        <v>769.2</v>
      </c>
    </row>
    <row r="70" spans="1:3">
      <c r="A70" s="43">
        <v>45988</v>
      </c>
      <c r="B70" s="44">
        <v>282.83999999999997</v>
      </c>
      <c r="C70" s="44">
        <v>770</v>
      </c>
    </row>
    <row r="71" spans="1:3">
      <c r="A71" s="43">
        <v>45987</v>
      </c>
      <c r="B71" s="44">
        <v>278.58999999999997</v>
      </c>
      <c r="C71" s="44">
        <v>765.6</v>
      </c>
    </row>
    <row r="72" spans="1:3">
      <c r="A72" s="43">
        <v>45986</v>
      </c>
      <c r="B72" s="44">
        <v>277.29000000000002</v>
      </c>
      <c r="C72" s="44">
        <v>760.6</v>
      </c>
    </row>
    <row r="73" spans="1:3">
      <c r="A73" s="43">
        <v>45985</v>
      </c>
      <c r="B73" s="44">
        <v>276.70999999999998</v>
      </c>
      <c r="C73" s="44">
        <v>751.4</v>
      </c>
    </row>
    <row r="74" spans="1:3">
      <c r="A74" s="43">
        <v>45982</v>
      </c>
      <c r="B74" s="44">
        <v>275.66000000000003</v>
      </c>
      <c r="C74" s="44">
        <v>762</v>
      </c>
    </row>
    <row r="75" spans="1:3">
      <c r="A75" s="43">
        <v>45981</v>
      </c>
      <c r="B75" s="44">
        <v>271.24</v>
      </c>
      <c r="C75" s="44">
        <v>746.4</v>
      </c>
    </row>
    <row r="76" spans="1:3">
      <c r="A76" s="43">
        <v>45980</v>
      </c>
      <c r="B76" s="44">
        <v>266</v>
      </c>
      <c r="C76" s="44">
        <v>753.6</v>
      </c>
    </row>
    <row r="77" spans="1:3">
      <c r="A77" s="43">
        <v>45979</v>
      </c>
      <c r="B77" s="44">
        <v>268.31</v>
      </c>
      <c r="C77" s="44">
        <v>739.4</v>
      </c>
    </row>
    <row r="78" spans="1:3">
      <c r="A78" s="43">
        <v>45978</v>
      </c>
      <c r="B78" s="44">
        <v>267.19</v>
      </c>
      <c r="C78" s="44">
        <v>761.8</v>
      </c>
    </row>
    <row r="79" spans="1:3">
      <c r="A79" s="43">
        <v>45975</v>
      </c>
      <c r="B79" s="44">
        <v>267.20999999999998</v>
      </c>
      <c r="C79" s="44">
        <v>789.4</v>
      </c>
    </row>
    <row r="80" spans="1:3">
      <c r="A80" s="43">
        <v>45974</v>
      </c>
      <c r="B80" s="44">
        <v>272.16000000000003</v>
      </c>
      <c r="C80" s="44">
        <v>781.2</v>
      </c>
    </row>
    <row r="81" spans="1:3">
      <c r="A81" s="43">
        <v>45973</v>
      </c>
      <c r="B81" s="44">
        <v>272.69</v>
      </c>
      <c r="C81" s="44">
        <v>800</v>
      </c>
    </row>
    <row r="82" spans="1:3">
      <c r="A82" s="43">
        <v>45972</v>
      </c>
      <c r="B82" s="44">
        <v>273.20999999999998</v>
      </c>
      <c r="C82" s="44">
        <v>805</v>
      </c>
    </row>
    <row r="83" spans="1:3">
      <c r="A83" s="43">
        <v>45971</v>
      </c>
      <c r="B83" s="44">
        <v>274.99</v>
      </c>
      <c r="C83" s="44">
        <v>797.4</v>
      </c>
    </row>
    <row r="84" spans="1:3">
      <c r="A84" s="43">
        <v>45968</v>
      </c>
      <c r="B84" s="44"/>
      <c r="C84" s="44">
        <v>770</v>
      </c>
    </row>
    <row r="85" spans="1:3">
      <c r="A85" s="43">
        <v>45967</v>
      </c>
      <c r="B85" s="44">
        <v>269.18</v>
      </c>
      <c r="C85" s="44">
        <v>778</v>
      </c>
    </row>
    <row r="86" spans="1:3">
      <c r="A86" s="43">
        <v>45966</v>
      </c>
      <c r="B86" s="44">
        <v>267.95999999999998</v>
      </c>
      <c r="C86" s="44">
        <v>768.4</v>
      </c>
    </row>
    <row r="87" spans="1:3">
      <c r="A87" s="43">
        <v>45965</v>
      </c>
      <c r="B87" s="44">
        <v>269.26</v>
      </c>
      <c r="C87" s="44">
        <v>812.2</v>
      </c>
    </row>
    <row r="88" spans="1:3">
      <c r="A88" s="43">
        <v>45964</v>
      </c>
      <c r="B88" s="44">
        <v>269.63</v>
      </c>
      <c r="C88" s="44">
        <v>826.4</v>
      </c>
    </row>
    <row r="89" spans="1:3">
      <c r="A89" s="43">
        <v>45961</v>
      </c>
      <c r="B89" s="44">
        <v>269.52999999999997</v>
      </c>
      <c r="C89" s="44">
        <v>867.6</v>
      </c>
    </row>
    <row r="90" spans="1:3">
      <c r="A90" s="43">
        <v>45960</v>
      </c>
      <c r="B90" s="44">
        <v>268.54000000000002</v>
      </c>
      <c r="C90" s="44">
        <v>871.2</v>
      </c>
    </row>
    <row r="91" spans="1:3">
      <c r="A91" s="43">
        <v>45959</v>
      </c>
      <c r="B91" s="44">
        <v>269.86</v>
      </c>
      <c r="C91" s="44">
        <v>879.4</v>
      </c>
    </row>
    <row r="92" spans="1:3">
      <c r="A92" s="43">
        <v>45958</v>
      </c>
      <c r="B92" s="44">
        <v>270.88</v>
      </c>
      <c r="C92" s="44">
        <v>881.8</v>
      </c>
    </row>
    <row r="93" spans="1:3">
      <c r="A93" s="43">
        <v>45957</v>
      </c>
      <c r="B93" s="44">
        <v>269.19</v>
      </c>
      <c r="C93" s="44">
        <v>889.6</v>
      </c>
    </row>
    <row r="94" spans="1:3">
      <c r="A94" s="43">
        <v>45954</v>
      </c>
      <c r="B94" s="44">
        <v>268.49</v>
      </c>
      <c r="C94" s="44">
        <v>889.4</v>
      </c>
    </row>
    <row r="95" spans="1:3">
      <c r="A95" s="43">
        <v>45953</v>
      </c>
      <c r="B95" s="44">
        <v>268.3</v>
      </c>
      <c r="C95" s="44">
        <v>883</v>
      </c>
    </row>
    <row r="96" spans="1:3">
      <c r="A96" s="43">
        <v>45952</v>
      </c>
      <c r="B96" s="44">
        <v>262.32</v>
      </c>
      <c r="C96" s="44">
        <v>864.6</v>
      </c>
    </row>
    <row r="97" spans="1:3">
      <c r="A97" s="43">
        <v>45951</v>
      </c>
      <c r="B97" s="44">
        <v>259.08999999999997</v>
      </c>
      <c r="C97" s="44">
        <v>867.4</v>
      </c>
    </row>
    <row r="98" spans="1:3">
      <c r="A98" s="43">
        <v>45950</v>
      </c>
      <c r="B98" s="44">
        <v>257.95999999999998</v>
      </c>
      <c r="C98" s="44">
        <v>832.6</v>
      </c>
    </row>
    <row r="99" spans="1:3">
      <c r="A99" s="43">
        <v>45947</v>
      </c>
      <c r="B99" s="44">
        <v>262.27</v>
      </c>
      <c r="C99" s="44">
        <v>824</v>
      </c>
    </row>
    <row r="100" spans="1:3">
      <c r="A100" s="43">
        <v>45946</v>
      </c>
      <c r="B100" s="44">
        <v>261.74</v>
      </c>
      <c r="C100" s="44">
        <v>822.4</v>
      </c>
    </row>
    <row r="101" spans="1:3">
      <c r="A101" s="43">
        <v>45945</v>
      </c>
      <c r="B101" s="44">
        <v>251.81</v>
      </c>
      <c r="C101" s="44">
        <v>812.6</v>
      </c>
    </row>
    <row r="102" spans="1:3">
      <c r="A102" s="43">
        <v>45944</v>
      </c>
      <c r="B102" s="44">
        <v>246.98</v>
      </c>
      <c r="C102" s="44">
        <v>795.6</v>
      </c>
    </row>
    <row r="103" spans="1:3">
      <c r="A103" s="43">
        <v>45943</v>
      </c>
      <c r="B103" s="44">
        <v>248.87</v>
      </c>
      <c r="C103" s="44">
        <v>798.2</v>
      </c>
    </row>
    <row r="104" spans="1:3">
      <c r="A104" s="43">
        <v>45940</v>
      </c>
      <c r="B104" s="44">
        <v>247.3</v>
      </c>
      <c r="C104" s="44">
        <v>811.2</v>
      </c>
    </row>
    <row r="105" spans="1:3">
      <c r="A105" s="43">
        <v>45939</v>
      </c>
      <c r="B105" s="44">
        <v>247.19</v>
      </c>
      <c r="C105" s="44">
        <v>826.4</v>
      </c>
    </row>
    <row r="106" spans="1:3">
      <c r="A106" s="43">
        <v>45938</v>
      </c>
      <c r="B106" s="44">
        <v>244.8</v>
      </c>
      <c r="C106" s="44">
        <v>840</v>
      </c>
    </row>
    <row r="107" spans="1:3">
      <c r="A107" s="43">
        <v>45937</v>
      </c>
      <c r="B107" s="44">
        <v>253.56</v>
      </c>
      <c r="C107" s="44">
        <v>826</v>
      </c>
    </row>
    <row r="108" spans="1:3">
      <c r="A108" s="43">
        <v>45936</v>
      </c>
      <c r="B108" s="44">
        <v>257.57</v>
      </c>
      <c r="C108" s="44">
        <v>825</v>
      </c>
    </row>
    <row r="109" spans="1:3">
      <c r="A109" s="43">
        <v>45933</v>
      </c>
      <c r="B109" s="44">
        <v>255.99</v>
      </c>
      <c r="C109" s="44">
        <v>820</v>
      </c>
    </row>
    <row r="110" spans="1:3">
      <c r="A110" s="43">
        <v>45932</v>
      </c>
      <c r="B110" s="44">
        <v>256.2</v>
      </c>
      <c r="C110" s="44">
        <v>831.2</v>
      </c>
    </row>
    <row r="111" spans="1:3">
      <c r="A111" s="43">
        <v>45931</v>
      </c>
      <c r="B111" s="44">
        <v>257.52999999999997</v>
      </c>
      <c r="C111" s="44">
        <v>842.4</v>
      </c>
    </row>
    <row r="112" spans="1:3">
      <c r="A112" s="43">
        <v>45930</v>
      </c>
      <c r="B112" s="44">
        <v>256.64</v>
      </c>
      <c r="C112" s="44">
        <v>828.4</v>
      </c>
    </row>
    <row r="113" spans="1:3">
      <c r="A113" s="43">
        <v>45929</v>
      </c>
      <c r="B113" s="44">
        <v>254.96</v>
      </c>
      <c r="C113" s="44">
        <v>850.6</v>
      </c>
    </row>
    <row r="114" spans="1:3">
      <c r="A114" s="43">
        <v>45926</v>
      </c>
      <c r="B114" s="44">
        <v>254.15</v>
      </c>
      <c r="C114" s="44">
        <v>836.8</v>
      </c>
    </row>
    <row r="115" spans="1:3">
      <c r="A115" s="43">
        <v>45925</v>
      </c>
      <c r="B115" s="44">
        <v>253.95</v>
      </c>
      <c r="C115" s="44">
        <v>830.2</v>
      </c>
    </row>
    <row r="116" spans="1:3">
      <c r="A116" s="43">
        <v>45924</v>
      </c>
      <c r="B116" s="44">
        <v>254.97</v>
      </c>
      <c r="C116" s="44">
        <v>833.6</v>
      </c>
    </row>
    <row r="117" spans="1:3">
      <c r="A117" s="43">
        <v>45923</v>
      </c>
      <c r="B117" s="44">
        <v>256.38</v>
      </c>
      <c r="C117" s="44">
        <v>854.2</v>
      </c>
    </row>
    <row r="118" spans="1:3">
      <c r="A118" s="43">
        <v>45922</v>
      </c>
      <c r="B118" s="44">
        <v>251.83</v>
      </c>
      <c r="C118" s="44">
        <v>855.8</v>
      </c>
    </row>
    <row r="119" spans="1:3">
      <c r="A119" s="43">
        <v>45919</v>
      </c>
      <c r="B119" s="44">
        <v>253.95</v>
      </c>
      <c r="C119" s="44">
        <v>874.6</v>
      </c>
    </row>
    <row r="120" spans="1:3">
      <c r="A120" s="43">
        <v>45918</v>
      </c>
      <c r="B120" s="44">
        <v>255.59</v>
      </c>
      <c r="C120" s="44">
        <v>885.2</v>
      </c>
    </row>
    <row r="121" spans="1:3">
      <c r="A121" s="43">
        <v>45917</v>
      </c>
      <c r="B121" s="44">
        <v>245.03</v>
      </c>
      <c r="C121" s="44">
        <v>866.4</v>
      </c>
    </row>
    <row r="122" spans="1:3">
      <c r="A122" s="43">
        <v>45916</v>
      </c>
      <c r="B122" s="44">
        <v>237.43</v>
      </c>
      <c r="C122" s="44">
        <v>865.6</v>
      </c>
    </row>
    <row r="123" spans="1:3">
      <c r="A123" s="43">
        <v>45915</v>
      </c>
      <c r="B123" s="44">
        <v>238.54</v>
      </c>
      <c r="C123" s="44">
        <v>870.8</v>
      </c>
    </row>
    <row r="124" spans="1:3">
      <c r="A124" s="43">
        <v>45912</v>
      </c>
      <c r="B124" s="44">
        <v>237.7</v>
      </c>
      <c r="C124" s="44">
        <v>871.2</v>
      </c>
    </row>
    <row r="125" spans="1:3">
      <c r="A125" s="43">
        <v>45911</v>
      </c>
      <c r="B125" s="44">
        <v>236.25</v>
      </c>
      <c r="C125" s="44">
        <v>866.2</v>
      </c>
    </row>
    <row r="126" spans="1:3">
      <c r="A126" s="43">
        <v>45910</v>
      </c>
      <c r="B126" s="44">
        <v>233.62</v>
      </c>
      <c r="C126" s="44">
        <v>860</v>
      </c>
    </row>
    <row r="127" spans="1:3">
      <c r="A127" s="43">
        <v>45909</v>
      </c>
      <c r="B127" s="44">
        <v>229.59</v>
      </c>
      <c r="C127" s="44">
        <v>858.6</v>
      </c>
    </row>
    <row r="128" spans="1:3">
      <c r="A128" s="43">
        <v>45908</v>
      </c>
      <c r="B128" s="44">
        <v>226.36</v>
      </c>
      <c r="C128" s="44">
        <v>860.6</v>
      </c>
    </row>
    <row r="129" spans="1:3">
      <c r="A129" s="43">
        <v>45905</v>
      </c>
      <c r="B129" s="44">
        <v>233.9</v>
      </c>
      <c r="C129" s="44">
        <v>859.6</v>
      </c>
    </row>
    <row r="130" spans="1:3">
      <c r="A130" s="43">
        <v>45904</v>
      </c>
      <c r="B130" s="44">
        <v>237.43</v>
      </c>
      <c r="C130" s="44">
        <v>859.4</v>
      </c>
    </row>
    <row r="131" spans="1:3">
      <c r="A131" s="43">
        <v>45903</v>
      </c>
      <c r="B131" s="44">
        <v>239.23</v>
      </c>
      <c r="C131" s="44">
        <v>845</v>
      </c>
    </row>
    <row r="132" spans="1:3">
      <c r="A132" s="43">
        <v>45902</v>
      </c>
      <c r="B132" s="44">
        <v>239.32</v>
      </c>
      <c r="C132" s="44">
        <v>841.2</v>
      </c>
    </row>
    <row r="133" spans="1:3">
      <c r="A133" s="43">
        <v>45901</v>
      </c>
      <c r="B133" s="44">
        <v>238.02</v>
      </c>
      <c r="C133" s="44">
        <v>862</v>
      </c>
    </row>
    <row r="134" spans="1:3">
      <c r="A134" s="43">
        <v>45898</v>
      </c>
      <c r="B134" s="44">
        <v>229.28</v>
      </c>
      <c r="C134" s="44">
        <v>881</v>
      </c>
    </row>
    <row r="135" spans="1:3">
      <c r="A135" s="43">
        <v>45897</v>
      </c>
      <c r="B135" s="44">
        <v>231.7</v>
      </c>
      <c r="C135" s="44">
        <v>899.4</v>
      </c>
    </row>
    <row r="136" spans="1:3">
      <c r="A136" s="43">
        <v>45896</v>
      </c>
      <c r="B136" s="44">
        <v>232.12</v>
      </c>
      <c r="C136" s="44">
        <v>900.2</v>
      </c>
    </row>
    <row r="137" spans="1:3">
      <c r="A137" s="43">
        <v>45895</v>
      </c>
      <c r="B137" s="44">
        <v>230.05</v>
      </c>
      <c r="C137" s="44">
        <v>900.2</v>
      </c>
    </row>
    <row r="138" spans="1:3">
      <c r="A138" s="43">
        <v>45894</v>
      </c>
      <c r="B138" s="44">
        <v>228.87</v>
      </c>
      <c r="C138" s="44">
        <v>887</v>
      </c>
    </row>
    <row r="139" spans="1:3">
      <c r="A139" s="43">
        <v>45891</v>
      </c>
      <c r="B139" s="44">
        <v>226.73</v>
      </c>
      <c r="C139" s="44">
        <v>912</v>
      </c>
    </row>
    <row r="140" spans="1:3">
      <c r="A140" s="43">
        <v>45890</v>
      </c>
      <c r="B140" s="44">
        <v>227.33</v>
      </c>
      <c r="C140" s="44">
        <v>889.4</v>
      </c>
    </row>
    <row r="141" spans="1:3">
      <c r="A141" s="43">
        <v>45889</v>
      </c>
      <c r="B141" s="44">
        <v>224.47</v>
      </c>
      <c r="C141" s="44">
        <v>896.2</v>
      </c>
    </row>
    <row r="142" spans="1:3">
      <c r="A142" s="43">
        <v>45888</v>
      </c>
      <c r="B142" s="44">
        <v>225.58</v>
      </c>
      <c r="C142" s="44">
        <v>875</v>
      </c>
    </row>
    <row r="143" spans="1:3">
      <c r="A143" s="43">
        <v>45887</v>
      </c>
      <c r="B143" s="44">
        <v>230.12</v>
      </c>
      <c r="C143" s="44">
        <v>842.6</v>
      </c>
    </row>
    <row r="144" spans="1:3">
      <c r="A144" s="43">
        <v>45884</v>
      </c>
      <c r="B144" s="44">
        <v>230.45</v>
      </c>
      <c r="C144" s="44">
        <v>844.6</v>
      </c>
    </row>
    <row r="145" spans="1:3">
      <c r="A145" s="43">
        <v>45883</v>
      </c>
      <c r="B145" s="44">
        <v>231.15</v>
      </c>
      <c r="C145" s="48">
        <v>1035</v>
      </c>
    </row>
    <row r="146" spans="1:3">
      <c r="A146" s="43">
        <v>45882</v>
      </c>
      <c r="B146" s="44">
        <v>232.34</v>
      </c>
      <c r="C146" s="48">
        <v>1037</v>
      </c>
    </row>
    <row r="147" spans="1:3">
      <c r="A147" s="43">
        <v>45881</v>
      </c>
      <c r="B147" s="44">
        <v>232.89</v>
      </c>
      <c r="C147" s="48">
        <v>1014</v>
      </c>
    </row>
    <row r="148" spans="1:3">
      <c r="A148" s="43">
        <v>45880</v>
      </c>
      <c r="B148" s="44">
        <v>229.21</v>
      </c>
      <c r="C148" s="48">
        <v>1029</v>
      </c>
    </row>
    <row r="149" spans="1:3">
      <c r="A149" s="43">
        <v>45877</v>
      </c>
      <c r="B149" s="44"/>
      <c r="C149" s="48">
        <v>1032.5</v>
      </c>
    </row>
    <row r="150" spans="1:3">
      <c r="A150" s="43">
        <v>45876</v>
      </c>
      <c r="B150" s="44">
        <v>226.75</v>
      </c>
      <c r="C150" s="48">
        <v>1037.5</v>
      </c>
    </row>
    <row r="151" spans="1:3">
      <c r="A151" s="43">
        <v>45875</v>
      </c>
      <c r="B151" s="44">
        <v>228.65</v>
      </c>
      <c r="C151" s="48">
        <v>1036.5</v>
      </c>
    </row>
    <row r="152" spans="1:3">
      <c r="A152" s="43">
        <v>45874</v>
      </c>
      <c r="B152" s="44">
        <v>219.36</v>
      </c>
      <c r="C152" s="48">
        <v>1073</v>
      </c>
    </row>
    <row r="153" spans="1:3">
      <c r="A153" s="43">
        <v>45873</v>
      </c>
      <c r="B153" s="44">
        <v>212.6</v>
      </c>
      <c r="C153" s="48">
        <v>1084.5</v>
      </c>
    </row>
    <row r="154" spans="1:3">
      <c r="A154" s="43">
        <v>45870</v>
      </c>
      <c r="B154" s="44">
        <v>202.3</v>
      </c>
      <c r="C154" s="48">
        <v>1074.5</v>
      </c>
    </row>
    <row r="155" spans="1:3">
      <c r="A155" s="43">
        <v>45869</v>
      </c>
      <c r="B155" s="44">
        <v>202.73</v>
      </c>
      <c r="C155" s="48">
        <v>1085.5</v>
      </c>
    </row>
    <row r="156" spans="1:3">
      <c r="A156" s="43">
        <v>45868</v>
      </c>
      <c r="B156" s="44">
        <v>201.77</v>
      </c>
      <c r="C156" s="48">
        <v>1075</v>
      </c>
    </row>
    <row r="157" spans="1:3">
      <c r="A157" s="43">
        <v>45867</v>
      </c>
      <c r="B157" s="44">
        <v>206.94</v>
      </c>
      <c r="C157" s="48">
        <v>1069</v>
      </c>
    </row>
    <row r="158" spans="1:3">
      <c r="A158" s="43">
        <v>45866</v>
      </c>
      <c r="B158" s="44">
        <v>208.42</v>
      </c>
      <c r="C158" s="48">
        <v>1076.5</v>
      </c>
    </row>
    <row r="159" spans="1:3">
      <c r="A159" s="43">
        <v>45863</v>
      </c>
      <c r="B159" s="44">
        <v>210.63</v>
      </c>
      <c r="C159" s="48">
        <v>1057</v>
      </c>
    </row>
    <row r="160" spans="1:3">
      <c r="A160" s="43">
        <v>45862</v>
      </c>
      <c r="B160" s="44">
        <v>213.4</v>
      </c>
      <c r="C160" s="48">
        <v>1064.5</v>
      </c>
    </row>
    <row r="161" spans="1:3">
      <c r="A161" s="43">
        <v>45861</v>
      </c>
      <c r="B161" s="44">
        <v>213.23</v>
      </c>
      <c r="C161" s="48">
        <v>1050</v>
      </c>
    </row>
    <row r="162" spans="1:3">
      <c r="A162" s="43">
        <v>45860</v>
      </c>
      <c r="B162" s="44">
        <v>213.11</v>
      </c>
      <c r="C162" s="48">
        <v>1039</v>
      </c>
    </row>
    <row r="163" spans="1:3">
      <c r="A163" s="43">
        <v>45859</v>
      </c>
      <c r="B163" s="44">
        <v>213.5</v>
      </c>
      <c r="C163" s="48">
        <v>1037</v>
      </c>
    </row>
    <row r="164" spans="1:3">
      <c r="A164" s="43">
        <v>45856</v>
      </c>
      <c r="B164" s="44">
        <v>213.75</v>
      </c>
      <c r="C164" s="48">
        <v>1049.5</v>
      </c>
    </row>
    <row r="165" spans="1:3">
      <c r="A165" s="43">
        <v>45855</v>
      </c>
      <c r="B165" s="44">
        <v>211.84</v>
      </c>
      <c r="C165" s="48">
        <v>1046</v>
      </c>
    </row>
    <row r="166" spans="1:3">
      <c r="A166" s="43">
        <v>45854</v>
      </c>
      <c r="B166" s="44">
        <v>210.54</v>
      </c>
      <c r="C166" s="48">
        <v>1037</v>
      </c>
    </row>
    <row r="167" spans="1:3">
      <c r="A167" s="43">
        <v>45853</v>
      </c>
      <c r="B167" s="44">
        <v>209.38</v>
      </c>
      <c r="C167" s="48">
        <v>1020</v>
      </c>
    </row>
    <row r="168" spans="1:3">
      <c r="A168" s="43">
        <v>45852</v>
      </c>
      <c r="B168" s="44">
        <v>209.52</v>
      </c>
      <c r="C168" s="48">
        <v>1039</v>
      </c>
    </row>
    <row r="169" spans="1:3">
      <c r="A169" s="43">
        <v>45849</v>
      </c>
      <c r="B169" s="44">
        <v>208.48</v>
      </c>
      <c r="C169" s="48">
        <v>1054</v>
      </c>
    </row>
    <row r="170" spans="1:3">
      <c r="A170" s="43">
        <v>45848</v>
      </c>
      <c r="B170" s="44">
        <v>207.99</v>
      </c>
      <c r="C170" s="48">
        <v>1069.5</v>
      </c>
    </row>
    <row r="171" spans="1:3">
      <c r="A171" s="43">
        <v>45847</v>
      </c>
      <c r="B171" s="44">
        <v>210.52</v>
      </c>
      <c r="C171" s="48">
        <v>1076.5</v>
      </c>
    </row>
    <row r="172" spans="1:3">
      <c r="A172" s="43">
        <v>45846</v>
      </c>
      <c r="B172" s="44">
        <v>211.77</v>
      </c>
      <c r="C172" s="48">
        <v>1066</v>
      </c>
    </row>
    <row r="173" spans="1:3">
      <c r="A173" s="43">
        <v>45845</v>
      </c>
      <c r="B173" s="44">
        <v>210.5</v>
      </c>
      <c r="C173" s="48">
        <v>1064.5</v>
      </c>
    </row>
    <row r="174" spans="1:3">
      <c r="A174" s="43">
        <v>45842</v>
      </c>
      <c r="B174" s="44">
        <v>209.37</v>
      </c>
      <c r="C174" s="48">
        <v>1085.5</v>
      </c>
    </row>
    <row r="175" spans="1:3">
      <c r="A175" s="43">
        <v>45841</v>
      </c>
      <c r="B175" s="44">
        <v>209.31</v>
      </c>
      <c r="C175" s="48">
        <v>1104</v>
      </c>
    </row>
    <row r="176" spans="1:3">
      <c r="A176" s="43">
        <v>45840</v>
      </c>
      <c r="B176" s="44">
        <v>212.9</v>
      </c>
      <c r="C176" s="48">
        <v>1106.5</v>
      </c>
    </row>
    <row r="177" spans="1:3">
      <c r="A177" s="43">
        <v>45839</v>
      </c>
      <c r="B177" s="44">
        <v>211.8</v>
      </c>
      <c r="C177" s="48">
        <v>1108</v>
      </c>
    </row>
    <row r="178" spans="1:3">
      <c r="A178" s="43">
        <v>45838</v>
      </c>
      <c r="B178" s="44">
        <v>207.19</v>
      </c>
      <c r="C178" s="48">
        <v>1112</v>
      </c>
    </row>
    <row r="179" spans="1:3">
      <c r="A179" s="43">
        <v>45835</v>
      </c>
      <c r="B179" s="44">
        <v>204.55</v>
      </c>
      <c r="C179" s="48">
        <v>1111</v>
      </c>
    </row>
    <row r="180" spans="1:3">
      <c r="A180" s="43">
        <v>45834</v>
      </c>
      <c r="B180" s="44">
        <v>200.47</v>
      </c>
      <c r="C180" s="48">
        <v>1082.5</v>
      </c>
    </row>
    <row r="181" spans="1:3">
      <c r="A181" s="43">
        <v>45833</v>
      </c>
      <c r="B181" s="44">
        <v>200.39</v>
      </c>
      <c r="C181" s="48">
        <v>1103</v>
      </c>
    </row>
    <row r="182" spans="1:3">
      <c r="A182" s="43">
        <v>45832</v>
      </c>
      <c r="B182" s="44">
        <v>200.95</v>
      </c>
      <c r="C182" s="48">
        <v>1135</v>
      </c>
    </row>
    <row r="183" spans="1:3">
      <c r="A183" s="43">
        <v>45831</v>
      </c>
      <c r="B183" s="44">
        <v>199.69</v>
      </c>
      <c r="C183" s="48">
        <v>1105.5</v>
      </c>
    </row>
    <row r="184" spans="1:3">
      <c r="A184" s="43">
        <v>45828</v>
      </c>
      <c r="B184" s="44">
        <v>200.89</v>
      </c>
      <c r="C184" s="48">
        <v>1167.5</v>
      </c>
    </row>
    <row r="185" spans="1:3">
      <c r="A185" s="43">
        <v>45827</v>
      </c>
      <c r="B185" s="44">
        <v>200.39</v>
      </c>
      <c r="C185" s="48">
        <v>1152</v>
      </c>
    </row>
    <row r="186" spans="1:3">
      <c r="A186" s="43">
        <v>45826</v>
      </c>
      <c r="B186" s="44">
        <v>195.98</v>
      </c>
      <c r="C186" s="48">
        <v>1174</v>
      </c>
    </row>
    <row r="187" spans="1:3">
      <c r="A187" s="43">
        <v>45825</v>
      </c>
      <c r="B187" s="44">
        <v>195.05</v>
      </c>
      <c r="C187" s="48">
        <v>1172.5</v>
      </c>
    </row>
    <row r="188" spans="1:3">
      <c r="A188" s="43">
        <v>45824</v>
      </c>
      <c r="B188" s="44">
        <v>197.82</v>
      </c>
      <c r="C188" s="48">
        <v>1199.5</v>
      </c>
    </row>
    <row r="189" spans="1:3">
      <c r="A189" s="43">
        <v>45821</v>
      </c>
      <c r="B189" s="44">
        <v>195.85</v>
      </c>
      <c r="C189" s="48">
        <v>1149</v>
      </c>
    </row>
    <row r="190" spans="1:3">
      <c r="A190" s="43">
        <v>45820</v>
      </c>
      <c r="B190" s="44">
        <v>198.6</v>
      </c>
      <c r="C190" s="48">
        <v>1178</v>
      </c>
    </row>
    <row r="191" spans="1:3">
      <c r="A191" s="43">
        <v>45819</v>
      </c>
      <c r="B191" s="44">
        <v>198.18</v>
      </c>
      <c r="C191" s="48">
        <v>1194</v>
      </c>
    </row>
    <row r="192" spans="1:3">
      <c r="A192" s="43">
        <v>45818</v>
      </c>
      <c r="B192" s="44">
        <v>202.06</v>
      </c>
      <c r="C192" s="48">
        <v>1183.5</v>
      </c>
    </row>
    <row r="193" spans="1:3">
      <c r="A193" s="43">
        <v>45814</v>
      </c>
      <c r="B193" s="44">
        <v>200.84</v>
      </c>
      <c r="C193" s="48">
        <v>1186</v>
      </c>
    </row>
    <row r="194" spans="1:3">
      <c r="A194" s="43">
        <v>45812</v>
      </c>
      <c r="B194" s="44">
        <v>203.3</v>
      </c>
      <c r="C194" s="48">
        <v>1219.5</v>
      </c>
    </row>
    <row r="195" spans="1:3">
      <c r="A195" s="43">
        <v>45811</v>
      </c>
      <c r="B195" s="44">
        <v>200.02</v>
      </c>
      <c r="C195" s="48">
        <v>1199.5</v>
      </c>
    </row>
    <row r="196" spans="1:3">
      <c r="A196" s="43">
        <v>45810</v>
      </c>
      <c r="B196" s="44">
        <v>202.2</v>
      </c>
      <c r="C196" s="48">
        <v>1178.5</v>
      </c>
    </row>
    <row r="197" spans="1:3">
      <c r="A197" s="43">
        <v>45805</v>
      </c>
      <c r="B197" s="44">
        <v>202.65</v>
      </c>
      <c r="C197" s="48">
        <v>1196.5</v>
      </c>
    </row>
    <row r="198" spans="1:3">
      <c r="A198" s="43">
        <v>45804</v>
      </c>
      <c r="B198" s="44">
        <v>201.09</v>
      </c>
      <c r="C198" s="48">
        <v>1218.5</v>
      </c>
    </row>
    <row r="199" spans="1:3">
      <c r="A199" s="43">
        <v>45803</v>
      </c>
      <c r="B199" s="44">
        <v>200.24</v>
      </c>
      <c r="C199" s="48">
        <v>1202.5</v>
      </c>
    </row>
    <row r="200" spans="1:3">
      <c r="A200" s="43">
        <v>45800</v>
      </c>
      <c r="B200" s="44">
        <v>199.34</v>
      </c>
      <c r="C200" s="48">
        <v>1185.5</v>
      </c>
    </row>
    <row r="201" spans="1:3">
      <c r="A201" s="43">
        <v>45799</v>
      </c>
      <c r="B201" s="44">
        <v>199.81</v>
      </c>
      <c r="C201" s="48">
        <v>1192</v>
      </c>
    </row>
    <row r="202" spans="1:3">
      <c r="A202" s="43">
        <v>45798</v>
      </c>
      <c r="B202" s="44">
        <v>199.6</v>
      </c>
      <c r="C202" s="48">
        <v>1212.5</v>
      </c>
    </row>
    <row r="203" spans="1:3">
      <c r="A203" s="43">
        <v>45797</v>
      </c>
      <c r="B203" s="44">
        <v>194.68</v>
      </c>
      <c r="C203" s="48">
        <v>1212.5</v>
      </c>
    </row>
    <row r="204" spans="1:3">
      <c r="A204" s="43">
        <v>45796</v>
      </c>
      <c r="B204" s="44">
        <v>200.75</v>
      </c>
      <c r="C204" s="48">
        <v>1211</v>
      </c>
    </row>
    <row r="205" spans="1:3">
      <c r="A205" s="43">
        <v>45793</v>
      </c>
      <c r="B205" s="44">
        <v>201.48</v>
      </c>
      <c r="C205" s="48">
        <v>1197</v>
      </c>
    </row>
    <row r="206" spans="1:3">
      <c r="A206" s="43">
        <v>45792</v>
      </c>
      <c r="B206" s="44">
        <v>206.23</v>
      </c>
      <c r="C206" s="48">
        <v>1155.5</v>
      </c>
    </row>
    <row r="207" spans="1:3">
      <c r="A207" s="43">
        <v>45791</v>
      </c>
      <c r="B207" s="44">
        <v>208.15</v>
      </c>
      <c r="C207" s="48">
        <v>1155</v>
      </c>
    </row>
    <row r="208" spans="1:3">
      <c r="A208" s="43">
        <v>45790</v>
      </c>
      <c r="B208" s="44">
        <v>210.62</v>
      </c>
      <c r="C208" s="48">
        <v>1136.5</v>
      </c>
    </row>
    <row r="209" spans="1:3">
      <c r="A209" s="43">
        <v>45789</v>
      </c>
      <c r="B209" s="44">
        <v>210.81</v>
      </c>
      <c r="C209" s="48">
        <v>1112</v>
      </c>
    </row>
    <row r="210" spans="1:3">
      <c r="A210" s="43">
        <v>45786</v>
      </c>
      <c r="B210" s="44">
        <v>211.69</v>
      </c>
      <c r="C210" s="48">
        <v>1032.5</v>
      </c>
    </row>
    <row r="211" spans="1:3">
      <c r="A211" s="43">
        <v>45785</v>
      </c>
      <c r="B211" s="44">
        <v>212.28</v>
      </c>
      <c r="C211" s="48">
        <v>1006.5</v>
      </c>
    </row>
    <row r="212" spans="1:3">
      <c r="A212" s="43">
        <v>45784</v>
      </c>
      <c r="B212" s="44"/>
      <c r="C212" s="44">
        <v>998.8</v>
      </c>
    </row>
    <row r="213" spans="1:3">
      <c r="A213" s="43">
        <v>45783</v>
      </c>
      <c r="B213" s="44">
        <v>210.15</v>
      </c>
      <c r="C213" s="44">
        <v>982</v>
      </c>
    </row>
    <row r="214" spans="1:3">
      <c r="A214" s="43">
        <v>45782</v>
      </c>
      <c r="B214" s="44">
        <v>197.67</v>
      </c>
      <c r="C214" s="48">
        <v>1004</v>
      </c>
    </row>
    <row r="215" spans="1:3">
      <c r="A215" s="43">
        <v>45779</v>
      </c>
      <c r="B215" s="44">
        <v>196.63</v>
      </c>
      <c r="C215" s="48">
        <v>1004</v>
      </c>
    </row>
    <row r="216" spans="1:3">
      <c r="A216" s="43">
        <v>45778</v>
      </c>
      <c r="B216" s="44">
        <v>195.4</v>
      </c>
      <c r="C216" s="44">
        <v>984.4</v>
      </c>
    </row>
    <row r="217" spans="1:3">
      <c r="A217" s="43">
        <v>45777</v>
      </c>
      <c r="B217" s="44">
        <v>197.65</v>
      </c>
      <c r="C217" s="44">
        <v>972.2</v>
      </c>
    </row>
    <row r="218" spans="1:3">
      <c r="A218" s="43">
        <v>45776</v>
      </c>
      <c r="B218" s="44">
        <v>198.03</v>
      </c>
      <c r="C218" s="44">
        <v>976.6</v>
      </c>
    </row>
    <row r="219" spans="1:3">
      <c r="A219" s="43">
        <v>45775</v>
      </c>
      <c r="B219" s="44">
        <v>204.46</v>
      </c>
      <c r="C219" s="44">
        <v>977.4</v>
      </c>
    </row>
    <row r="220" spans="1:3">
      <c r="A220" s="43">
        <v>45772</v>
      </c>
      <c r="B220" s="44">
        <v>212.39</v>
      </c>
      <c r="C220" s="44">
        <v>964</v>
      </c>
    </row>
    <row r="221" spans="1:3">
      <c r="A221" s="43">
        <v>45771</v>
      </c>
      <c r="B221" s="44">
        <v>211.58</v>
      </c>
      <c r="C221" s="44">
        <v>959.2</v>
      </c>
    </row>
    <row r="222" spans="1:3">
      <c r="A222" s="43">
        <v>45770</v>
      </c>
      <c r="B222" s="44">
        <v>210.29</v>
      </c>
      <c r="C222" s="44">
        <v>983.2</v>
      </c>
    </row>
    <row r="223" spans="1:3">
      <c r="A223" s="43">
        <v>45769</v>
      </c>
      <c r="B223" s="44">
        <v>209.23</v>
      </c>
      <c r="C223" s="44">
        <v>938.4</v>
      </c>
    </row>
    <row r="224" spans="1:3">
      <c r="A224" s="43">
        <v>45763</v>
      </c>
      <c r="B224" s="44">
        <v>208.37</v>
      </c>
      <c r="C224" s="44">
        <v>921.2</v>
      </c>
    </row>
    <row r="225" spans="1:3">
      <c r="A225" s="43">
        <v>45762</v>
      </c>
      <c r="B225" s="44">
        <v>207.47</v>
      </c>
      <c r="C225" s="44">
        <v>954.8</v>
      </c>
    </row>
    <row r="226" spans="1:3">
      <c r="A226" s="43">
        <v>45761</v>
      </c>
      <c r="B226" s="44">
        <v>203.71</v>
      </c>
      <c r="C226" s="44">
        <v>949.2</v>
      </c>
    </row>
    <row r="227" spans="1:3">
      <c r="A227" s="43">
        <v>45758</v>
      </c>
      <c r="B227" s="44">
        <v>198.87</v>
      </c>
      <c r="C227" s="44">
        <v>932.2</v>
      </c>
    </row>
    <row r="228" spans="1:3">
      <c r="A228" s="43">
        <v>45757</v>
      </c>
      <c r="B228" s="44">
        <v>192.32</v>
      </c>
      <c r="C228" s="44">
        <v>949.6</v>
      </c>
    </row>
    <row r="229" spans="1:3">
      <c r="A229" s="43">
        <v>45756</v>
      </c>
      <c r="B229" s="44">
        <v>196.13</v>
      </c>
      <c r="C229" s="44">
        <v>883.8</v>
      </c>
    </row>
    <row r="230" spans="1:3">
      <c r="A230" s="43">
        <v>45755</v>
      </c>
      <c r="B230" s="44">
        <v>193.43</v>
      </c>
      <c r="C230" s="44">
        <v>921.2</v>
      </c>
    </row>
    <row r="231" spans="1:3">
      <c r="A231" s="43">
        <v>45754</v>
      </c>
      <c r="B231" s="44">
        <v>201.26</v>
      </c>
      <c r="C231" s="44">
        <v>904.2</v>
      </c>
    </row>
    <row r="232" spans="1:3">
      <c r="A232" s="43">
        <v>45751</v>
      </c>
      <c r="B232" s="44">
        <v>201.64</v>
      </c>
      <c r="C232" s="44">
        <v>873.4</v>
      </c>
    </row>
    <row r="233" spans="1:3">
      <c r="A233" s="43">
        <v>45750</v>
      </c>
      <c r="B233" s="44">
        <v>197.29</v>
      </c>
      <c r="C233" s="44">
        <v>949</v>
      </c>
    </row>
    <row r="234" spans="1:3">
      <c r="A234" s="43">
        <v>45749</v>
      </c>
      <c r="B234" s="44">
        <v>189.59</v>
      </c>
      <c r="C234" s="48">
        <v>1062.5</v>
      </c>
    </row>
    <row r="235" spans="1:3">
      <c r="A235" s="43">
        <v>45748</v>
      </c>
      <c r="B235" s="44">
        <v>197.99</v>
      </c>
      <c r="C235" s="48">
        <v>1061</v>
      </c>
    </row>
    <row r="236" spans="1:3">
      <c r="A236" s="43">
        <v>45747</v>
      </c>
      <c r="B236" s="44">
        <v>171.67</v>
      </c>
      <c r="C236" s="48">
        <v>1054</v>
      </c>
    </row>
    <row r="237" spans="1:3">
      <c r="A237" s="43">
        <v>45744</v>
      </c>
      <c r="B237" s="44">
        <v>180.67</v>
      </c>
      <c r="C237" s="48">
        <v>1067.5</v>
      </c>
    </row>
    <row r="238" spans="1:3">
      <c r="A238" s="43">
        <v>45743</v>
      </c>
      <c r="B238" s="44">
        <v>187.56</v>
      </c>
      <c r="C238" s="48">
        <v>1089</v>
      </c>
    </row>
    <row r="239" spans="1:3">
      <c r="A239" s="43">
        <v>45742</v>
      </c>
      <c r="B239" s="44">
        <v>202.31</v>
      </c>
      <c r="C239" s="48">
        <v>1109.5</v>
      </c>
    </row>
    <row r="240" spans="1:3">
      <c r="A240" s="43">
        <v>45741</v>
      </c>
      <c r="B240" s="44">
        <v>222.92</v>
      </c>
      <c r="C240" s="48">
        <v>1108.5</v>
      </c>
    </row>
    <row r="241" spans="1:3">
      <c r="A241" s="43">
        <v>45740</v>
      </c>
      <c r="B241" s="44">
        <v>222.22</v>
      </c>
      <c r="C241" s="48">
        <v>1133</v>
      </c>
    </row>
    <row r="242" spans="1:3">
      <c r="A242" s="43">
        <v>45737</v>
      </c>
      <c r="B242" s="44">
        <v>221.17</v>
      </c>
      <c r="C242" s="48">
        <v>1115.5</v>
      </c>
    </row>
    <row r="243" spans="1:3">
      <c r="A243" s="43">
        <v>45736</v>
      </c>
      <c r="B243" s="44">
        <v>216.95</v>
      </c>
      <c r="C243" s="48">
        <v>1133</v>
      </c>
    </row>
    <row r="244" spans="1:3">
      <c r="A244" s="43">
        <v>45735</v>
      </c>
      <c r="B244" s="44">
        <v>222.88</v>
      </c>
      <c r="C244" s="48">
        <v>1117.5</v>
      </c>
    </row>
    <row r="245" spans="1:3">
      <c r="A245" s="43">
        <v>45734</v>
      </c>
      <c r="B245" s="44">
        <v>220.57</v>
      </c>
      <c r="C245" s="48">
        <v>1075</v>
      </c>
    </row>
    <row r="246" spans="1:3">
      <c r="A246" s="43">
        <v>45733</v>
      </c>
      <c r="B246" s="44">
        <v>222.78</v>
      </c>
      <c r="C246" s="48">
        <v>1104.5</v>
      </c>
    </row>
    <row r="247" spans="1:3">
      <c r="A247" s="43">
        <v>45730</v>
      </c>
      <c r="B247" s="44">
        <v>219.77</v>
      </c>
      <c r="C247" s="48">
        <v>1103.5</v>
      </c>
    </row>
    <row r="248" spans="1:3">
      <c r="A248" s="43">
        <v>45729</v>
      </c>
      <c r="B248" s="44">
        <v>217.32</v>
      </c>
      <c r="C248" s="44"/>
    </row>
    <row r="249" spans="1:3">
      <c r="A249" s="43">
        <v>45729</v>
      </c>
      <c r="B249" s="44">
        <v>213.17</v>
      </c>
      <c r="C249" s="48">
        <v>1111</v>
      </c>
    </row>
    <row r="250" spans="1:3">
      <c r="A250" s="43">
        <v>45728</v>
      </c>
      <c r="B250" s="44">
        <v>214.31</v>
      </c>
      <c r="C250" s="48">
        <v>1108.5</v>
      </c>
    </row>
    <row r="251" spans="1:3">
      <c r="A251" s="43">
        <v>45727</v>
      </c>
      <c r="B251" s="44">
        <v>211.77</v>
      </c>
      <c r="C251" s="48">
        <v>1106.54</v>
      </c>
    </row>
    <row r="252" spans="1:3">
      <c r="A252" s="44"/>
      <c r="B252" s="44"/>
      <c r="C252" s="44"/>
    </row>
    <row r="253" spans="1:3">
      <c r="A253" s="44"/>
      <c r="B253" s="44"/>
      <c r="C253" s="44"/>
    </row>
    <row r="254" spans="1:3">
      <c r="A254" s="44"/>
      <c r="B254" s="44"/>
      <c r="C254" s="44"/>
    </row>
    <row r="255" spans="1:3">
      <c r="A255" s="44"/>
      <c r="B255" s="44"/>
      <c r="C255" s="44"/>
    </row>
    <row r="256" spans="1:3">
      <c r="A256" s="44"/>
      <c r="B256" s="44"/>
      <c r="C256" s="44"/>
    </row>
    <row r="257" spans="1:3">
      <c r="A257" s="44"/>
      <c r="B257" s="44"/>
      <c r="C257" s="44"/>
    </row>
    <row r="258" spans="1:3">
      <c r="A258" s="44"/>
      <c r="B258" s="44"/>
      <c r="C258" s="44"/>
    </row>
    <row r="259" spans="1:3">
      <c r="A259" s="44"/>
      <c r="B259" s="44"/>
      <c r="C259" s="44"/>
    </row>
    <row r="260" spans="1:3">
      <c r="A260" s="44"/>
      <c r="B260" s="44"/>
      <c r="C260" s="44"/>
    </row>
    <row r="261" spans="1:3">
      <c r="A261" s="44"/>
      <c r="B261" s="44"/>
      <c r="C261" s="44"/>
    </row>
    <row r="262" spans="1:3">
      <c r="A262" s="44"/>
      <c r="B262" s="44"/>
      <c r="C262" s="44"/>
    </row>
    <row r="263" spans="1:3">
      <c r="A263" s="44"/>
      <c r="B263" s="44"/>
      <c r="C263" s="44"/>
    </row>
    <row r="264" spans="1:3">
      <c r="A264" s="44"/>
      <c r="B264" s="44"/>
      <c r="C264" s="44"/>
    </row>
    <row r="265" spans="1:3">
      <c r="A265" s="44"/>
      <c r="B265" s="44"/>
      <c r="C265" s="44"/>
    </row>
    <row r="266" spans="1:3">
      <c r="A266" s="44"/>
      <c r="B266" s="44"/>
      <c r="C266" s="44"/>
    </row>
    <row r="267" spans="1:3">
      <c r="A267" s="44"/>
      <c r="B267" s="44"/>
      <c r="C267" s="44"/>
    </row>
    <row r="268" spans="1:3">
      <c r="A268" s="44"/>
      <c r="B268" s="44"/>
      <c r="C268" s="44"/>
    </row>
    <row r="269" spans="1:3">
      <c r="A269" s="44"/>
      <c r="B269" s="44"/>
      <c r="C269" s="44"/>
    </row>
    <row r="270" spans="1:3">
      <c r="A270" s="44"/>
      <c r="B270" s="44"/>
      <c r="C270" s="44"/>
    </row>
    <row r="271" spans="1:3">
      <c r="A271" s="44"/>
      <c r="B271" s="44"/>
      <c r="C271" s="44"/>
    </row>
    <row r="272" spans="1:3">
      <c r="A272" s="44"/>
      <c r="B272" s="44"/>
      <c r="C272" s="44"/>
    </row>
    <row r="273" spans="1:3">
      <c r="A273" s="44"/>
      <c r="B273" s="44"/>
      <c r="C273" s="44"/>
    </row>
    <row r="274" spans="1:3">
      <c r="A274" s="49"/>
      <c r="B274" s="49"/>
      <c r="C274" s="49"/>
    </row>
    <row r="275" spans="1:3">
      <c r="A275" s="49"/>
      <c r="B275" s="49"/>
      <c r="C275" s="49"/>
    </row>
    <row r="276" spans="1:3">
      <c r="A276" s="49"/>
      <c r="B276" s="49"/>
      <c r="C276" s="49"/>
    </row>
    <row r="277" spans="1:3">
      <c r="A277" s="49"/>
      <c r="B277" s="49"/>
      <c r="C277" s="49"/>
    </row>
    <row r="278" spans="1:3">
      <c r="A278" s="49"/>
      <c r="B278" s="49"/>
      <c r="C278" s="49"/>
    </row>
    <row r="279" spans="1:3">
      <c r="A279" s="49"/>
      <c r="B279" s="49"/>
      <c r="C279" s="49"/>
    </row>
    <row r="280" spans="1:3">
      <c r="A280" s="49"/>
      <c r="B280" s="49"/>
      <c r="C280" s="49"/>
    </row>
    <row r="281" spans="1:3">
      <c r="A281" s="49"/>
      <c r="B281" s="49"/>
      <c r="C281" s="49"/>
    </row>
    <row r="282" spans="1:3">
      <c r="A282" s="49"/>
      <c r="B282" s="49"/>
      <c r="C282" s="49"/>
    </row>
    <row r="283" spans="1:3">
      <c r="A283" s="49"/>
      <c r="B283" s="49"/>
      <c r="C283" s="49"/>
    </row>
    <row r="284" spans="1:3">
      <c r="A284" s="49"/>
      <c r="B284" s="49"/>
      <c r="C284" s="49"/>
    </row>
    <row r="285" spans="1:3">
      <c r="A285" s="49"/>
      <c r="B285" s="49"/>
      <c r="C285" s="49"/>
    </row>
    <row r="286" spans="1:3">
      <c r="A286" s="49"/>
      <c r="B286" s="49"/>
      <c r="C286" s="49"/>
    </row>
    <row r="287" spans="1:3">
      <c r="A287" s="49"/>
      <c r="B287" s="49"/>
      <c r="C287" s="49"/>
    </row>
    <row r="288" spans="1:3">
      <c r="A288" s="49"/>
      <c r="B288" s="49"/>
      <c r="C288" s="49"/>
    </row>
    <row r="289" spans="1:3">
      <c r="A289" s="49"/>
      <c r="B289" s="49"/>
      <c r="C289" s="49"/>
    </row>
    <row r="290" spans="1:3">
      <c r="A290" s="49"/>
      <c r="B290" s="49"/>
      <c r="C290" s="49"/>
    </row>
    <row r="291" spans="1:3">
      <c r="A291" s="49"/>
      <c r="B291" s="49"/>
      <c r="C291" s="49"/>
    </row>
    <row r="292" spans="1:3">
      <c r="A292" s="49"/>
      <c r="B292" s="49"/>
      <c r="C292" s="49"/>
    </row>
    <row r="293" spans="1:3">
      <c r="A293" s="49"/>
      <c r="B293" s="49"/>
      <c r="C293" s="49"/>
    </row>
    <row r="294" spans="1:3">
      <c r="A294" s="49"/>
      <c r="B294" s="49"/>
      <c r="C294" s="49"/>
    </row>
    <row r="295" spans="1:3">
      <c r="A295" s="49"/>
      <c r="B295" s="49"/>
      <c r="C295" s="49"/>
    </row>
    <row r="296" spans="1:3">
      <c r="A296" s="49"/>
      <c r="B296" s="49"/>
      <c r="C296" s="49"/>
    </row>
    <row r="297" spans="1:3">
      <c r="A297" s="49"/>
      <c r="B297" s="49"/>
      <c r="C297" s="49"/>
    </row>
    <row r="298" spans="1:3">
      <c r="A298" s="49"/>
      <c r="B298" s="49"/>
      <c r="C298" s="49"/>
    </row>
    <row r="299" spans="1:3">
      <c r="A299" s="49"/>
      <c r="B299" s="49"/>
      <c r="C299" s="49"/>
    </row>
    <row r="300" spans="1:3">
      <c r="A300" s="49"/>
      <c r="B300" s="49"/>
      <c r="C300" s="49"/>
    </row>
    <row r="301" spans="1:3">
      <c r="A301" s="49"/>
      <c r="B301" s="49"/>
      <c r="C301" s="49"/>
    </row>
    <row r="302" spans="1:3">
      <c r="A302" s="49"/>
      <c r="B302" s="49"/>
      <c r="C302" s="49"/>
    </row>
    <row r="303" spans="1:3">
      <c r="A303" s="49"/>
      <c r="B303" s="49"/>
      <c r="C303" s="49"/>
    </row>
    <row r="304" spans="1:3">
      <c r="A304" s="49"/>
      <c r="B304" s="49"/>
      <c r="C304" s="49"/>
    </row>
    <row r="305" spans="1:3">
      <c r="A305" s="49"/>
      <c r="B305" s="49"/>
      <c r="C305" s="49"/>
    </row>
    <row r="306" spans="1:3">
      <c r="A306" s="49"/>
      <c r="B306" s="49"/>
      <c r="C306" s="49"/>
    </row>
    <row r="307" spans="1:3">
      <c r="A307" s="49"/>
      <c r="B307" s="49"/>
      <c r="C307" s="49"/>
    </row>
    <row r="308" spans="1:3">
      <c r="A308" s="49"/>
      <c r="B308" s="49"/>
      <c r="C308" s="49"/>
    </row>
    <row r="309" spans="1:3">
      <c r="A309" s="49"/>
      <c r="B309" s="49"/>
      <c r="C309" s="49"/>
    </row>
    <row r="310" spans="1:3">
      <c r="A310" s="49"/>
      <c r="B310" s="49"/>
      <c r="C310" s="49"/>
    </row>
    <row r="311" spans="1:3">
      <c r="A311" s="49"/>
      <c r="B311" s="49"/>
      <c r="C311" s="49"/>
    </row>
    <row r="312" spans="1:3">
      <c r="A312" s="49"/>
      <c r="B312" s="49"/>
      <c r="C312" s="49"/>
    </row>
    <row r="313" spans="1:3">
      <c r="A313" s="49"/>
      <c r="B313" s="49"/>
      <c r="C313" s="49"/>
    </row>
    <row r="314" spans="1:3">
      <c r="A314" s="49"/>
      <c r="B314" s="49"/>
      <c r="C314" s="49"/>
    </row>
    <row r="315" spans="1:3">
      <c r="A315" s="49"/>
      <c r="B315" s="49"/>
      <c r="C315" s="49"/>
    </row>
    <row r="316" spans="1:3">
      <c r="A316" s="49"/>
      <c r="B316" s="49"/>
      <c r="C316" s="49"/>
    </row>
    <row r="317" spans="1:3">
      <c r="A317" s="49"/>
      <c r="B317" s="49"/>
      <c r="C317" s="49"/>
    </row>
    <row r="318" spans="1:3">
      <c r="A318" s="49"/>
      <c r="B318" s="49"/>
      <c r="C318" s="49"/>
    </row>
    <row r="319" spans="1:3">
      <c r="A319" s="49"/>
      <c r="B319" s="49"/>
      <c r="C319" s="49"/>
    </row>
    <row r="320" spans="1:3">
      <c r="A320" s="49"/>
      <c r="B320" s="49"/>
      <c r="C320" s="49"/>
    </row>
    <row r="321" spans="1:3">
      <c r="A321" s="49"/>
      <c r="B321" s="49"/>
      <c r="C321" s="49"/>
    </row>
    <row r="322" spans="1:3">
      <c r="A322" s="49"/>
      <c r="B322" s="49"/>
      <c r="C322" s="49"/>
    </row>
    <row r="323" spans="1:3">
      <c r="A323" s="49"/>
      <c r="B323" s="49"/>
      <c r="C323" s="49"/>
    </row>
    <row r="324" spans="1:3">
      <c r="A324" s="49"/>
      <c r="B324" s="49"/>
      <c r="C324" s="49"/>
    </row>
    <row r="325" spans="1:3">
      <c r="A325" s="49"/>
      <c r="B325" s="49"/>
      <c r="C325" s="49"/>
    </row>
    <row r="326" spans="1:3">
      <c r="A326" s="49"/>
      <c r="B326" s="49"/>
      <c r="C326" s="49"/>
    </row>
    <row r="327" spans="1:3">
      <c r="A327" s="49"/>
      <c r="B327" s="49"/>
      <c r="C327" s="49"/>
    </row>
    <row r="328" spans="1:3">
      <c r="A328" s="49"/>
      <c r="B328" s="49"/>
      <c r="C328" s="49"/>
    </row>
    <row r="329" spans="1:3">
      <c r="A329" s="49"/>
      <c r="B329" s="49"/>
      <c r="C329" s="49"/>
    </row>
    <row r="330" spans="1:3">
      <c r="A330" s="49"/>
      <c r="B330" s="49"/>
      <c r="C330" s="49"/>
    </row>
    <row r="331" spans="1:3">
      <c r="A331" s="49"/>
      <c r="B331" s="49"/>
      <c r="C331" s="49"/>
    </row>
    <row r="332" spans="1:3">
      <c r="A332" s="49"/>
      <c r="B332" s="49"/>
      <c r="C332" s="49"/>
    </row>
    <row r="333" spans="1:3">
      <c r="A333" s="49"/>
      <c r="B333" s="49"/>
      <c r="C333" s="49"/>
    </row>
    <row r="334" spans="1:3">
      <c r="A334" s="49"/>
      <c r="B334" s="49"/>
      <c r="C334" s="49"/>
    </row>
    <row r="335" spans="1:3">
      <c r="A335" s="49"/>
      <c r="B335" s="49"/>
      <c r="C335" s="49"/>
    </row>
    <row r="336" spans="1:3">
      <c r="A336" s="49"/>
      <c r="B336" s="49"/>
      <c r="C336" s="49"/>
    </row>
    <row r="337" spans="1:3">
      <c r="A337" s="49"/>
      <c r="B337" s="49"/>
      <c r="C337" s="49"/>
    </row>
    <row r="338" spans="1:3">
      <c r="A338" s="49"/>
      <c r="B338" s="49"/>
      <c r="C338" s="49"/>
    </row>
    <row r="339" spans="1:3">
      <c r="A339" s="49"/>
      <c r="B339" s="49"/>
      <c r="C339" s="49"/>
    </row>
    <row r="340" spans="1:3">
      <c r="A340" s="49"/>
      <c r="B340" s="49"/>
      <c r="C340" s="49"/>
    </row>
    <row r="341" spans="1:3">
      <c r="A341" s="49"/>
      <c r="B341" s="49"/>
      <c r="C341" s="49"/>
    </row>
    <row r="342" spans="1:3">
      <c r="A342" s="49"/>
      <c r="B342" s="49"/>
      <c r="C342" s="49"/>
    </row>
    <row r="343" spans="1:3">
      <c r="A343" s="49"/>
      <c r="B343" s="49"/>
      <c r="C343" s="49"/>
    </row>
    <row r="344" spans="1:3">
      <c r="A344" s="49"/>
      <c r="B344" s="49"/>
      <c r="C344" s="49"/>
    </row>
    <row r="345" spans="1:3">
      <c r="A345" s="49"/>
      <c r="B345" s="49"/>
      <c r="C345" s="49"/>
    </row>
    <row r="346" spans="1:3">
      <c r="A346" s="49"/>
      <c r="B346" s="49"/>
      <c r="C346" s="49"/>
    </row>
    <row r="347" spans="1:3">
      <c r="A347" s="49"/>
      <c r="B347" s="49"/>
      <c r="C347" s="49"/>
    </row>
    <row r="348" spans="1:3">
      <c r="A348" s="49"/>
      <c r="B348" s="49"/>
      <c r="C348" s="49"/>
    </row>
    <row r="349" spans="1:3">
      <c r="A349" s="49"/>
      <c r="B349" s="49"/>
      <c r="C349" s="49"/>
    </row>
    <row r="350" spans="1:3">
      <c r="A350" s="49"/>
      <c r="B350" s="49"/>
      <c r="C350" s="49"/>
    </row>
    <row r="351" spans="1:3">
      <c r="A351" s="49"/>
      <c r="B351" s="49"/>
      <c r="C351" s="49"/>
    </row>
    <row r="352" spans="1:3">
      <c r="A352" s="49"/>
      <c r="B352" s="49"/>
      <c r="C352" s="49"/>
    </row>
    <row r="353" spans="1:3">
      <c r="A353" s="49"/>
      <c r="B353" s="49"/>
      <c r="C353" s="49"/>
    </row>
    <row r="354" spans="1:3">
      <c r="A354" s="49"/>
      <c r="B354" s="49"/>
      <c r="C354" s="49"/>
    </row>
    <row r="355" spans="1:3">
      <c r="A355" s="49"/>
      <c r="B355" s="49"/>
      <c r="C355" s="49"/>
    </row>
    <row r="356" spans="1:3">
      <c r="A356" s="49"/>
      <c r="B356" s="49"/>
      <c r="C356" s="49"/>
    </row>
    <row r="357" spans="1:3">
      <c r="A357" s="49"/>
      <c r="B357" s="49"/>
      <c r="C357" s="49"/>
    </row>
    <row r="358" spans="1:3">
      <c r="A358" s="49"/>
      <c r="B358" s="49"/>
      <c r="C358" s="49"/>
    </row>
    <row r="359" spans="1:3">
      <c r="A359" s="49"/>
      <c r="B359" s="49"/>
      <c r="C359" s="49"/>
    </row>
    <row r="360" spans="1:3">
      <c r="A360" s="49"/>
      <c r="B360" s="49"/>
      <c r="C360" s="49"/>
    </row>
    <row r="361" spans="1:3">
      <c r="A361" s="49"/>
      <c r="B361" s="49"/>
      <c r="C361" s="49"/>
    </row>
    <row r="362" spans="1:3">
      <c r="A362" s="49"/>
      <c r="B362" s="49"/>
      <c r="C362" s="49"/>
    </row>
    <row r="363" spans="1:3">
      <c r="A363" s="49"/>
      <c r="B363" s="49"/>
      <c r="C363" s="49"/>
    </row>
    <row r="364" spans="1:3">
      <c r="A364" s="49"/>
      <c r="B364" s="49"/>
      <c r="C364" s="49"/>
    </row>
    <row r="365" spans="1:3">
      <c r="A365" s="49"/>
      <c r="B365" s="49"/>
      <c r="C365" s="49"/>
    </row>
    <row r="366" spans="1:3">
      <c r="A366" s="49"/>
      <c r="B366" s="49"/>
      <c r="C366" s="49"/>
    </row>
    <row r="367" spans="1:3">
      <c r="A367" s="49"/>
      <c r="B367" s="49"/>
      <c r="C367" s="49"/>
    </row>
    <row r="368" spans="1:3">
      <c r="A368" s="49"/>
      <c r="B368" s="49"/>
      <c r="C368" s="49"/>
    </row>
    <row r="369" spans="1:3">
      <c r="A369" s="49"/>
      <c r="B369" s="49"/>
      <c r="C369" s="49"/>
    </row>
    <row r="370" spans="1:3">
      <c r="A370" s="49"/>
      <c r="B370" s="49"/>
      <c r="C370" s="49"/>
    </row>
    <row r="371" spans="1:3">
      <c r="A371" s="49"/>
      <c r="B371" s="49"/>
      <c r="C371" s="49"/>
    </row>
    <row r="372" spans="1:3">
      <c r="A372" s="49"/>
      <c r="B372" s="49"/>
      <c r="C372" s="49"/>
    </row>
    <row r="373" spans="1:3">
      <c r="A373" s="49"/>
      <c r="B373" s="49"/>
      <c r="C373" s="49"/>
    </row>
    <row r="374" spans="1:3">
      <c r="A374" s="49"/>
      <c r="B374" s="49"/>
      <c r="C374" s="49"/>
    </row>
    <row r="375" spans="1:3">
      <c r="A375" s="49"/>
      <c r="B375" s="49"/>
      <c r="C375" s="49"/>
    </row>
    <row r="376" spans="1:3">
      <c r="A376" s="49"/>
      <c r="B376" s="49"/>
      <c r="C376" s="49"/>
    </row>
    <row r="377" spans="1:3">
      <c r="A377" s="49"/>
      <c r="B377" s="49"/>
      <c r="C377" s="49"/>
    </row>
    <row r="378" spans="1:3">
      <c r="A378" s="49"/>
      <c r="B378" s="49"/>
      <c r="C378" s="49"/>
    </row>
    <row r="379" spans="1:3">
      <c r="A379" s="49"/>
      <c r="B379" s="49"/>
      <c r="C379" s="49"/>
    </row>
    <row r="380" spans="1:3">
      <c r="A380" s="49"/>
      <c r="B380" s="49"/>
      <c r="C380" s="49"/>
    </row>
    <row r="381" spans="1:3">
      <c r="A381" s="49"/>
      <c r="B381" s="49"/>
      <c r="C381" s="49"/>
    </row>
    <row r="382" spans="1:3">
      <c r="A382" s="49"/>
      <c r="B382" s="49"/>
      <c r="C382" s="49"/>
    </row>
    <row r="383" spans="1:3">
      <c r="A383" s="49"/>
      <c r="B383" s="49"/>
      <c r="C383" s="49"/>
    </row>
    <row r="384" spans="1:3">
      <c r="A384" s="49"/>
      <c r="B384" s="49"/>
      <c r="C384" s="49"/>
    </row>
    <row r="385" spans="1:3">
      <c r="A385" s="49"/>
      <c r="B385" s="49"/>
      <c r="C385" s="49"/>
    </row>
    <row r="386" spans="1:3">
      <c r="A386" s="49"/>
      <c r="B386" s="49"/>
      <c r="C386" s="49"/>
    </row>
    <row r="387" spans="1:3">
      <c r="A387" s="49"/>
      <c r="B387" s="49"/>
      <c r="C387" s="49"/>
    </row>
    <row r="388" spans="1:3">
      <c r="A388" s="50"/>
      <c r="B388" s="50"/>
      <c r="C388" s="50"/>
    </row>
  </sheetData>
  <mergeCells count="1">
    <mergeCell ref="D7:G8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D3013-A8B7-4280-B054-FFE3CC91838A}">
  <dimension ref="A1:I384"/>
  <sheetViews>
    <sheetView topLeftCell="A11" workbookViewId="0">
      <selection activeCell="D13" sqref="D13"/>
    </sheetView>
  </sheetViews>
  <sheetFormatPr defaultRowHeight="15"/>
  <cols>
    <col min="1" max="1" width="20" style="2" customWidth="1"/>
    <col min="2" max="3" width="16.5703125" style="2" customWidth="1"/>
    <col min="4" max="4" width="9.140625" style="2"/>
    <col min="5" max="5" width="12.28515625" style="45" bestFit="1" customWidth="1"/>
    <col min="6" max="6" width="19.140625" style="45" customWidth="1"/>
    <col min="7" max="7" width="19.140625" style="46" customWidth="1"/>
    <col min="8" max="8" width="19.28515625" style="47" bestFit="1" customWidth="1"/>
    <col min="9" max="9" width="21.5703125" style="47" bestFit="1" customWidth="1"/>
    <col min="10" max="16384" width="9.140625" style="2"/>
  </cols>
  <sheetData>
    <row r="1" spans="1:9">
      <c r="A1" s="37" t="s">
        <v>0</v>
      </c>
      <c r="B1" s="38" t="s">
        <v>4</v>
      </c>
      <c r="C1" s="38" t="s">
        <v>5</v>
      </c>
      <c r="E1" s="39" t="s">
        <v>6</v>
      </c>
      <c r="F1" s="40" t="s">
        <v>7</v>
      </c>
      <c r="G1" s="41"/>
      <c r="H1" s="42" t="s">
        <v>6</v>
      </c>
      <c r="I1" s="42" t="s">
        <v>7</v>
      </c>
    </row>
    <row r="2" spans="1:9">
      <c r="A2" s="43">
        <v>45727</v>
      </c>
      <c r="B2" s="44">
        <v>260.83</v>
      </c>
      <c r="C2" s="44">
        <v>479.5</v>
      </c>
      <c r="E2" s="45">
        <f>(B2-B3)/B3</f>
        <v>3.6555333230721436E-3</v>
      </c>
      <c r="F2" s="45">
        <f>(C2-C3)/C3</f>
        <v>-1.4388489208633094E-2</v>
      </c>
      <c r="H2" s="47">
        <f>(B2/B3)-1</f>
        <v>3.6555333230721132E-3</v>
      </c>
      <c r="I2" s="47">
        <f>(C2/C3)-1</f>
        <v>-1.4388489208633115E-2</v>
      </c>
    </row>
    <row r="3" spans="1:9">
      <c r="A3" s="43">
        <v>45728</v>
      </c>
      <c r="B3" s="44">
        <v>259.88</v>
      </c>
      <c r="C3" s="44">
        <v>486.5</v>
      </c>
      <c r="E3" s="45">
        <f t="shared" ref="E3:E65" si="0">(B3-B4)/B4</f>
        <v>9.3995183717859709E-3</v>
      </c>
      <c r="F3" s="45">
        <f t="shared" ref="F3:F65" si="1">(C3-C4)/C4</f>
        <v>-1.4384116693679137E-2</v>
      </c>
      <c r="H3" s="47">
        <f>(B3/B4)-1</f>
        <v>9.3995183717858755E-3</v>
      </c>
      <c r="I3" s="47">
        <f>(C3/C4)-1</f>
        <v>-1.4384116693679116E-2</v>
      </c>
    </row>
    <row r="4" spans="1:9">
      <c r="A4" s="43">
        <v>45729</v>
      </c>
      <c r="B4" s="44">
        <v>257.45999999999998</v>
      </c>
      <c r="C4" s="44">
        <v>493.6</v>
      </c>
      <c r="E4" s="45">
        <f t="shared" si="0"/>
        <v>-1.0872488378347384E-2</v>
      </c>
      <c r="F4" s="45">
        <f>(C4-C5)/C5</f>
        <v>-9.4320690347180179E-3</v>
      </c>
      <c r="H4" s="47">
        <f>(B4/B5)-1</f>
        <v>-1.0872488378347422E-2</v>
      </c>
      <c r="I4" s="47">
        <f>(C4/C5)-1</f>
        <v>-9.4320690347180491E-3</v>
      </c>
    </row>
    <row r="5" spans="1:9">
      <c r="A5" s="43">
        <v>45729</v>
      </c>
      <c r="B5" s="44">
        <v>260.29000000000002</v>
      </c>
      <c r="C5" s="44">
        <v>498.3</v>
      </c>
      <c r="E5" s="45">
        <f t="shared" si="0"/>
        <v>-8.4945908883131242E-3</v>
      </c>
      <c r="F5" s="45">
        <f t="shared" si="1"/>
        <v>2.6364572605561302E-2</v>
      </c>
      <c r="H5" s="47">
        <f>(B5/B6)-1</f>
        <v>-8.4945908883131693E-3</v>
      </c>
      <c r="I5" s="47">
        <f>(C5/C6)-1</f>
        <v>2.6364572605561243E-2</v>
      </c>
    </row>
    <row r="6" spans="1:9">
      <c r="A6" s="43">
        <v>45730</v>
      </c>
      <c r="B6" s="44">
        <v>262.52</v>
      </c>
      <c r="C6" s="44">
        <v>485.5</v>
      </c>
      <c r="E6" s="45">
        <f t="shared" si="0"/>
        <v>-4.6635071090048085E-3</v>
      </c>
      <c r="F6" s="45">
        <f t="shared" si="1"/>
        <v>5.5923777961888743E-3</v>
      </c>
      <c r="H6" s="47">
        <f>(B6/B7)-1</f>
        <v>-4.6635071090047608E-3</v>
      </c>
      <c r="I6" s="47">
        <f>(C6/C7)-1</f>
        <v>5.5923777961888188E-3</v>
      </c>
    </row>
    <row r="7" spans="1:9">
      <c r="A7" s="43">
        <v>45733</v>
      </c>
      <c r="B7" s="44">
        <v>263.75</v>
      </c>
      <c r="C7" s="44">
        <v>482.8</v>
      </c>
      <c r="E7" s="45">
        <f t="shared" si="0"/>
        <v>-3.6642490178302629E-3</v>
      </c>
      <c r="F7" s="45">
        <f t="shared" si="1"/>
        <v>-6.9930069930069462E-3</v>
      </c>
      <c r="H7" s="47">
        <f>(B7/B8)-1</f>
        <v>-3.6642490178302456E-3</v>
      </c>
      <c r="I7" s="47">
        <f>(C7/C8)-1</f>
        <v>-6.9930069930069783E-3</v>
      </c>
    </row>
    <row r="8" spans="1:9">
      <c r="A8" s="43">
        <v>45734</v>
      </c>
      <c r="B8" s="44">
        <v>264.72000000000003</v>
      </c>
      <c r="C8" s="44">
        <v>486.2</v>
      </c>
      <c r="E8" s="45">
        <f t="shared" si="0"/>
        <v>2.0440608675903566E-3</v>
      </c>
      <c r="F8" s="45">
        <f t="shared" si="1"/>
        <v>-2.7600000000000024E-2</v>
      </c>
      <c r="H8" s="47">
        <f>(B8/B9)-1</f>
        <v>2.0440608675904581E-3</v>
      </c>
      <c r="I8" s="47">
        <f>(C8/C9)-1</f>
        <v>-2.7600000000000069E-2</v>
      </c>
    </row>
    <row r="9" spans="1:9">
      <c r="A9" s="43">
        <v>45735</v>
      </c>
      <c r="B9" s="44">
        <v>264.18</v>
      </c>
      <c r="C9" s="44">
        <v>500</v>
      </c>
      <c r="E9" s="45">
        <f t="shared" si="0"/>
        <v>-3.2130426818098488E-2</v>
      </c>
      <c r="F9" s="45">
        <f t="shared" si="1"/>
        <v>-3.1383184812088426E-2</v>
      </c>
      <c r="H9" s="47">
        <f>(B9/B10)-1</f>
        <v>-3.2130426818098523E-2</v>
      </c>
      <c r="I9" s="47">
        <f>(C9/C10)-1</f>
        <v>-3.138318481208846E-2</v>
      </c>
    </row>
    <row r="10" spans="1:9">
      <c r="A10" s="43">
        <v>45736</v>
      </c>
      <c r="B10" s="44">
        <v>272.95</v>
      </c>
      <c r="C10" s="44">
        <v>516.20000000000005</v>
      </c>
      <c r="E10" s="45">
        <f t="shared" si="0"/>
        <v>-4.6676147759181323E-3</v>
      </c>
      <c r="F10" s="45">
        <f t="shared" si="1"/>
        <v>3.1574740207833872E-2</v>
      </c>
      <c r="H10" s="47">
        <f>(B10/B11)-1</f>
        <v>-4.6676147759181497E-3</v>
      </c>
      <c r="I10" s="47">
        <f>(C10/C11)-1</f>
        <v>3.1574740207833907E-2</v>
      </c>
    </row>
    <row r="11" spans="1:9">
      <c r="A11" s="43">
        <v>45737</v>
      </c>
      <c r="B11" s="44">
        <v>274.23</v>
      </c>
      <c r="C11" s="44">
        <v>500.4</v>
      </c>
      <c r="E11" s="45">
        <f t="shared" si="0"/>
        <v>7.679870654810142E-3</v>
      </c>
      <c r="F11" s="45">
        <f t="shared" si="1"/>
        <v>-4.8669201520912593E-2</v>
      </c>
      <c r="H11" s="47">
        <f>(B11/B12)-1</f>
        <v>7.6798706548102391E-3</v>
      </c>
      <c r="I11" s="47">
        <f>(C11/C12)-1</f>
        <v>-4.8669201520912586E-2</v>
      </c>
    </row>
    <row r="12" spans="1:9">
      <c r="A12" s="43">
        <v>45740</v>
      </c>
      <c r="B12" s="44">
        <v>272.14</v>
      </c>
      <c r="C12" s="44">
        <v>526</v>
      </c>
      <c r="E12" s="45">
        <f t="shared" si="0"/>
        <v>2.2390863325569086E-2</v>
      </c>
      <c r="F12" s="45">
        <f t="shared" si="1"/>
        <v>1.2317167051578093E-2</v>
      </c>
      <c r="H12" s="47">
        <f>(B12/B13)-1</f>
        <v>2.2390863325569166E-2</v>
      </c>
      <c r="I12" s="47">
        <f>(C12/C13)-1</f>
        <v>1.2317167051578037E-2</v>
      </c>
    </row>
    <row r="13" spans="1:9">
      <c r="A13" s="43">
        <v>45741</v>
      </c>
      <c r="B13" s="44">
        <v>266.18</v>
      </c>
      <c r="C13" s="44">
        <v>519.6</v>
      </c>
      <c r="E13" s="45">
        <f t="shared" si="0"/>
        <v>6.0473202812004797E-3</v>
      </c>
      <c r="F13" s="45">
        <f t="shared" si="1"/>
        <v>-5.0785531603945847E-2</v>
      </c>
      <c r="G13" s="36" t="s">
        <v>8</v>
      </c>
      <c r="H13" s="47">
        <f>(B13/B14)-1</f>
        <v>6.0473202812005855E-3</v>
      </c>
      <c r="I13" s="47">
        <f>(C13/C14)-1</f>
        <v>-5.0785531603945833E-2</v>
      </c>
    </row>
    <row r="14" spans="1:9">
      <c r="A14" s="43">
        <v>45742</v>
      </c>
      <c r="B14" s="44">
        <v>264.58</v>
      </c>
      <c r="C14" s="44">
        <v>547.4</v>
      </c>
      <c r="E14" s="45">
        <f t="shared" si="0"/>
        <v>1.5350372246526979E-2</v>
      </c>
      <c r="F14" s="45">
        <f t="shared" si="1"/>
        <v>4.0684410646387788E-2</v>
      </c>
      <c r="H14" s="47">
        <f>(B14/B15)-1</f>
        <v>1.5350372246526911E-2</v>
      </c>
      <c r="I14" s="47">
        <f>(C14/C15)-1</f>
        <v>4.0684410646387725E-2</v>
      </c>
    </row>
    <row r="15" spans="1:9">
      <c r="A15" s="43">
        <v>45743</v>
      </c>
      <c r="B15" s="44">
        <v>260.58</v>
      </c>
      <c r="C15" s="44">
        <v>526</v>
      </c>
      <c r="E15" s="45">
        <f t="shared" si="0"/>
        <v>-1.426139587667879E-2</v>
      </c>
      <c r="F15" s="45">
        <f t="shared" si="1"/>
        <v>-1.7189835575485882E-2</v>
      </c>
      <c r="H15" s="47">
        <f>(B15/B16)-1</f>
        <v>-1.426139587667874E-2</v>
      </c>
      <c r="I15" s="47">
        <f>(C15/C16)-1</f>
        <v>-1.7189835575485923E-2</v>
      </c>
    </row>
    <row r="16" spans="1:9">
      <c r="A16" s="43">
        <v>45744</v>
      </c>
      <c r="B16" s="44">
        <v>264.35000000000002</v>
      </c>
      <c r="C16" s="44">
        <v>535.20000000000005</v>
      </c>
      <c r="E16" s="45">
        <f t="shared" si="0"/>
        <v>1.7811126269517482E-3</v>
      </c>
      <c r="F16" s="45">
        <f t="shared" si="1"/>
        <v>0</v>
      </c>
      <c r="H16" s="47">
        <f>(B16/B17)-1</f>
        <v>1.7811126269517974E-3</v>
      </c>
      <c r="I16" s="47">
        <f>(C16/C17)-1</f>
        <v>0</v>
      </c>
    </row>
    <row r="17" spans="1:9">
      <c r="A17" s="43">
        <v>45747</v>
      </c>
      <c r="B17" s="44">
        <v>263.88</v>
      </c>
      <c r="C17" s="44">
        <v>535.20000000000005</v>
      </c>
      <c r="E17" s="45">
        <f t="shared" si="0"/>
        <v>3.1667839549612928E-2</v>
      </c>
      <c r="F17" s="45">
        <f t="shared" si="1"/>
        <v>-6.6815144766145312E-3</v>
      </c>
      <c r="H17" s="47">
        <f>(B17/B18)-1</f>
        <v>3.1667839549612831E-2</v>
      </c>
      <c r="I17" s="47">
        <f>(C17/C18)-1</f>
        <v>-6.6815144766145806E-3</v>
      </c>
    </row>
    <row r="18" spans="1:9">
      <c r="A18" s="43">
        <v>45748</v>
      </c>
      <c r="B18" s="44">
        <v>255.78</v>
      </c>
      <c r="C18" s="44">
        <v>538.79999999999995</v>
      </c>
      <c r="E18" s="45">
        <f t="shared" si="0"/>
        <v>-2.2733351163412741E-2</v>
      </c>
      <c r="F18" s="45">
        <f t="shared" si="1"/>
        <v>-1.8525379770285293E-3</v>
      </c>
      <c r="H18" s="47">
        <f>(B18/B19)-1</f>
        <v>-2.2733351163412796E-2</v>
      </c>
      <c r="I18" s="47">
        <f>(C18/C19)-1</f>
        <v>-1.8525379770285566E-3</v>
      </c>
    </row>
    <row r="19" spans="1:9">
      <c r="A19" s="43">
        <v>45749</v>
      </c>
      <c r="B19" s="44">
        <v>261.73</v>
      </c>
      <c r="C19" s="44">
        <v>539.79999999999995</v>
      </c>
      <c r="E19" s="45">
        <f t="shared" si="0"/>
        <v>-4.9981851179673256E-2</v>
      </c>
      <c r="F19" s="45">
        <f t="shared" si="1"/>
        <v>5.9634737234437784E-3</v>
      </c>
      <c r="H19" s="47">
        <f>(B19/B20)-1</f>
        <v>-4.9981851179673242E-2</v>
      </c>
      <c r="I19" s="47">
        <f>(C19/C20)-1</f>
        <v>5.9634737234437463E-3</v>
      </c>
    </row>
    <row r="20" spans="1:9">
      <c r="A20" s="43">
        <v>45750</v>
      </c>
      <c r="B20" s="44">
        <v>275.5</v>
      </c>
      <c r="C20" s="44">
        <v>536.6</v>
      </c>
      <c r="E20" s="45">
        <f t="shared" si="0"/>
        <v>6.6501023092662712E-3</v>
      </c>
      <c r="F20" s="45">
        <f t="shared" si="1"/>
        <v>4.1167664670659536E-3</v>
      </c>
      <c r="H20" s="47">
        <f>(B20/B21)-1</f>
        <v>6.6501023092662148E-3</v>
      </c>
      <c r="I20" s="47">
        <f>(C20/C21)-1</f>
        <v>4.1167664670660464E-3</v>
      </c>
    </row>
    <row r="21" spans="1:9">
      <c r="A21" s="43">
        <v>45751</v>
      </c>
      <c r="B21" s="44">
        <v>273.68</v>
      </c>
      <c r="C21" s="44">
        <v>534.4</v>
      </c>
      <c r="E21" s="45">
        <f ca="1">AVERAGE(E2:E246)</f>
        <v>0</v>
      </c>
      <c r="F21" s="45">
        <f>(C21-C22)/C22</f>
        <v>-4.0998881848677698E-3</v>
      </c>
      <c r="H21" s="47">
        <f ca="1">AVERAGE(H2:H245)</f>
        <v>0</v>
      </c>
      <c r="I21" s="47">
        <f>(C21/C22)-1</f>
        <v>-4.0998881848677282E-3</v>
      </c>
    </row>
    <row r="22" spans="1:9">
      <c r="A22" s="43">
        <v>45755</v>
      </c>
      <c r="B22" s="44">
        <v>274.62</v>
      </c>
      <c r="C22" s="44">
        <v>536.6</v>
      </c>
      <c r="E22" s="45">
        <f t="shared" si="0"/>
        <v>-1.1660548477650648E-2</v>
      </c>
      <c r="F22" s="45">
        <f t="shared" si="1"/>
        <v>-5.8596491228070133E-2</v>
      </c>
      <c r="H22" s="47">
        <f>(B22/B23)-1</f>
        <v>-1.1660548477650634E-2</v>
      </c>
      <c r="I22" s="47">
        <f>(C22/C23)-1</f>
        <v>-5.8596491228070091E-2</v>
      </c>
    </row>
    <row r="23" spans="1:9">
      <c r="A23" s="43">
        <v>45756</v>
      </c>
      <c r="B23" s="44">
        <v>277.86</v>
      </c>
      <c r="C23" s="44">
        <v>570</v>
      </c>
      <c r="E23" s="45">
        <f t="shared" si="0"/>
        <v>8.0174133865410363E-3</v>
      </c>
      <c r="F23" s="45">
        <f t="shared" si="1"/>
        <v>5.3215077605321418E-2</v>
      </c>
      <c r="H23" s="47">
        <f>(B23/B24)-1</f>
        <v>8.0174133865409392E-3</v>
      </c>
      <c r="I23" s="47">
        <f>(C23/C24)-1</f>
        <v>5.3215077605321515E-2</v>
      </c>
    </row>
    <row r="24" spans="1:9">
      <c r="A24" s="43">
        <v>45757</v>
      </c>
      <c r="B24" s="44">
        <v>275.64999999999998</v>
      </c>
      <c r="C24" s="44">
        <v>541.20000000000005</v>
      </c>
      <c r="E24" s="45">
        <f t="shared" si="0"/>
        <v>-2.0996995257576687E-3</v>
      </c>
      <c r="F24" s="45">
        <f t="shared" si="1"/>
        <v>5.5793991416309058E-2</v>
      </c>
      <c r="H24" s="47">
        <f>(B24/B25)-1</f>
        <v>-2.0996995257576145E-3</v>
      </c>
      <c r="I24" s="47">
        <f>(C24/C25)-1</f>
        <v>5.579399141630903E-2</v>
      </c>
    </row>
    <row r="25" spans="1:9">
      <c r="A25" s="43">
        <v>45758</v>
      </c>
      <c r="B25" s="44">
        <v>276.23</v>
      </c>
      <c r="C25" s="44">
        <v>512.6</v>
      </c>
      <c r="E25" s="45">
        <f t="shared" si="0"/>
        <v>2.600007428592653E-2</v>
      </c>
      <c r="F25" s="45">
        <f t="shared" si="1"/>
        <v>1.6660055533518514E-2</v>
      </c>
      <c r="H25" s="47">
        <f>(B25/B26)-1</f>
        <v>2.6000074285926544E-2</v>
      </c>
      <c r="I25" s="47">
        <f>(C25/C26)-1</f>
        <v>1.666005553351857E-2</v>
      </c>
    </row>
    <row r="26" spans="1:9">
      <c r="A26" s="43">
        <v>45761</v>
      </c>
      <c r="B26" s="44">
        <v>269.23</v>
      </c>
      <c r="C26" s="44">
        <v>504.2</v>
      </c>
      <c r="E26" s="45">
        <f t="shared" si="0"/>
        <v>-1.9647093712929003E-3</v>
      </c>
      <c r="F26" s="45">
        <f t="shared" si="1"/>
        <v>-9.2512598992080697E-2</v>
      </c>
      <c r="H26" s="47">
        <f>(B26/B27)-1</f>
        <v>-1.9647093712928942E-3</v>
      </c>
      <c r="I26" s="47">
        <f>(C26/C27)-1</f>
        <v>-9.2512598992080641E-2</v>
      </c>
    </row>
    <row r="27" spans="1:9">
      <c r="A27" s="43">
        <v>45762</v>
      </c>
      <c r="B27" s="44">
        <v>269.76</v>
      </c>
      <c r="C27" s="44">
        <v>555.6</v>
      </c>
      <c r="E27" s="45">
        <f t="shared" si="0"/>
        <v>4.0580157383119819E-2</v>
      </c>
      <c r="F27" s="45">
        <f t="shared" si="1"/>
        <v>9.1552062868369394E-2</v>
      </c>
      <c r="H27" s="47">
        <f>(B27/B28)-1</f>
        <v>4.0580157383119708E-2</v>
      </c>
      <c r="I27" s="47">
        <f>(C27/C28)-1</f>
        <v>9.1552062868369477E-2</v>
      </c>
    </row>
    <row r="28" spans="1:9">
      <c r="A28" s="43">
        <v>45763</v>
      </c>
      <c r="B28" s="44">
        <v>259.24</v>
      </c>
      <c r="C28" s="44">
        <v>509</v>
      </c>
      <c r="E28" s="45">
        <f t="shared" si="0"/>
        <v>4.6504417919701925E-3</v>
      </c>
      <c r="F28" s="45">
        <f t="shared" si="1"/>
        <v>4.9484536082474224E-2</v>
      </c>
      <c r="H28" s="47">
        <f>(B28/B29)-1</f>
        <v>4.6504417919701613E-3</v>
      </c>
      <c r="I28" s="47">
        <f>(C28/C29)-1</f>
        <v>4.9484536082474273E-2</v>
      </c>
    </row>
    <row r="29" spans="1:9">
      <c r="A29" s="43">
        <v>45769</v>
      </c>
      <c r="B29" s="44">
        <v>258.04000000000002</v>
      </c>
      <c r="C29" s="44">
        <v>485</v>
      </c>
      <c r="E29" s="45">
        <f t="shared" si="0"/>
        <v>7.1818891491023888E-3</v>
      </c>
      <c r="F29" s="45">
        <f t="shared" si="1"/>
        <v>-4.1067761806981521E-3</v>
      </c>
      <c r="H29" s="47">
        <f>(B29/B30)-1</f>
        <v>7.1818891491024495E-3</v>
      </c>
      <c r="I29" s="47">
        <f>(C29/C30)-1</f>
        <v>-4.1067761806981018E-3</v>
      </c>
    </row>
    <row r="30" spans="1:9">
      <c r="A30" s="43">
        <v>45770</v>
      </c>
      <c r="B30" s="44">
        <v>256.2</v>
      </c>
      <c r="C30" s="44">
        <v>487</v>
      </c>
      <c r="E30" s="45">
        <f t="shared" si="0"/>
        <v>-7.0921985815602228E-3</v>
      </c>
      <c r="F30" s="45">
        <f t="shared" si="1"/>
        <v>-1.3171225937183385E-2</v>
      </c>
      <c r="H30" s="47">
        <f>(B30/B31)-1</f>
        <v>-7.0921985815601829E-3</v>
      </c>
      <c r="I30" s="47">
        <f>(C30/C31)-1</f>
        <v>-1.317122593718334E-2</v>
      </c>
    </row>
    <row r="31" spans="1:9">
      <c r="A31" s="43">
        <v>45771</v>
      </c>
      <c r="B31" s="44">
        <v>258.02999999999997</v>
      </c>
      <c r="C31" s="44">
        <v>493.5</v>
      </c>
      <c r="E31" s="45">
        <f t="shared" si="0"/>
        <v>1.1208214131755243E-2</v>
      </c>
      <c r="F31" s="45">
        <f t="shared" si="1"/>
        <v>1.3347022587268994E-2</v>
      </c>
      <c r="H31" s="47">
        <f>(B31/B32)-1</f>
        <v>1.1208214131755323E-2</v>
      </c>
      <c r="I31" s="47">
        <f>(C31/C32)-1</f>
        <v>1.3347022587268942E-2</v>
      </c>
    </row>
    <row r="32" spans="1:9">
      <c r="A32" s="43">
        <v>45772</v>
      </c>
      <c r="B32" s="44">
        <v>255.17</v>
      </c>
      <c r="C32" s="44">
        <v>487</v>
      </c>
      <c r="E32" s="45">
        <f t="shared" si="0"/>
        <v>2.9700173520035452E-2</v>
      </c>
      <c r="F32" s="45">
        <f t="shared" si="1"/>
        <v>-3.5643564356435641E-2</v>
      </c>
      <c r="H32" s="47">
        <f>(B32/B33)-1</f>
        <v>2.9700173520035511E-2</v>
      </c>
      <c r="I32" s="47">
        <f>(C32/C33)-1</f>
        <v>-3.5643564356435675E-2</v>
      </c>
    </row>
    <row r="33" spans="1:9">
      <c r="A33" s="43">
        <v>45775</v>
      </c>
      <c r="B33" s="44">
        <v>247.81</v>
      </c>
      <c r="C33" s="44">
        <v>505</v>
      </c>
      <c r="E33" s="45">
        <f t="shared" si="0"/>
        <v>-1.2493954538126805E-3</v>
      </c>
      <c r="F33" s="45">
        <f t="shared" si="1"/>
        <v>-9.4154570419772675E-3</v>
      </c>
      <c r="H33" s="47">
        <f>(B33/B34)-1</f>
        <v>-1.2493954538126406E-3</v>
      </c>
      <c r="I33" s="47">
        <f>(C33/C34)-1</f>
        <v>-9.4154570419772154E-3</v>
      </c>
    </row>
    <row r="34" spans="1:9">
      <c r="A34" s="43">
        <v>45776</v>
      </c>
      <c r="B34" s="44">
        <v>248.12</v>
      </c>
      <c r="C34" s="44">
        <v>509.8</v>
      </c>
      <c r="E34" s="45">
        <f t="shared" si="0"/>
        <v>2.829197316304329E-3</v>
      </c>
      <c r="F34" s="45">
        <f t="shared" si="1"/>
        <v>-1.4688828759180452E-2</v>
      </c>
      <c r="H34" s="47">
        <f>(B34/B35)-1</f>
        <v>2.8291973163043771E-3</v>
      </c>
      <c r="I34" s="47">
        <f>(C34/C35)-1</f>
        <v>-1.4688828759180428E-2</v>
      </c>
    </row>
    <row r="35" spans="1:9">
      <c r="A35" s="43">
        <v>45777</v>
      </c>
      <c r="B35" s="44">
        <v>247.42</v>
      </c>
      <c r="C35" s="44">
        <v>517.4</v>
      </c>
      <c r="E35" s="45">
        <f t="shared" si="0"/>
        <v>3.8544244735667166E-3</v>
      </c>
      <c r="F35" s="45">
        <f t="shared" si="1"/>
        <v>3.1019775106630922E-3</v>
      </c>
      <c r="H35" s="47">
        <f>(B35/B36)-1</f>
        <v>3.8544244735667643E-3</v>
      </c>
      <c r="I35" s="47">
        <f>(C35/C36)-1</f>
        <v>3.1019775106631009E-3</v>
      </c>
    </row>
    <row r="36" spans="1:9">
      <c r="A36" s="43">
        <v>45778</v>
      </c>
      <c r="B36" s="44">
        <v>246.47</v>
      </c>
      <c r="C36" s="44">
        <v>515.79999999999995</v>
      </c>
      <c r="E36" s="45">
        <f t="shared" si="0"/>
        <v>-3.4548944337811874E-2</v>
      </c>
      <c r="F36" s="45">
        <f t="shared" si="1"/>
        <v>-7.3133179368746496E-3</v>
      </c>
      <c r="H36" s="47">
        <f>(B36/B37)-1</f>
        <v>-3.454894433781186E-2</v>
      </c>
      <c r="I36" s="47">
        <f>(C36/C37)-1</f>
        <v>-7.3133179368746193E-3</v>
      </c>
    </row>
    <row r="37" spans="1:9">
      <c r="A37" s="43">
        <v>45779</v>
      </c>
      <c r="B37" s="44">
        <v>255.29</v>
      </c>
      <c r="C37" s="44">
        <v>519.6</v>
      </c>
      <c r="E37" s="45">
        <f t="shared" si="0"/>
        <v>-1.0388804899794685E-2</v>
      </c>
      <c r="F37" s="45">
        <f t="shared" si="1"/>
        <v>-5.527272727272723E-2</v>
      </c>
      <c r="H37" s="47">
        <f>(B37/B38)-1</f>
        <v>-1.0388804899794657E-2</v>
      </c>
      <c r="I37" s="47">
        <f>(C37/C38)-1</f>
        <v>-5.5272727272727251E-2</v>
      </c>
    </row>
    <row r="38" spans="1:9">
      <c r="A38" s="43">
        <v>45782</v>
      </c>
      <c r="B38" s="44">
        <v>257.97000000000003</v>
      </c>
      <c r="C38" s="44">
        <v>550</v>
      </c>
      <c r="E38" s="45">
        <f t="shared" si="0"/>
        <v>-6.7380255659941464E-3</v>
      </c>
      <c r="F38" s="45">
        <f t="shared" si="1"/>
        <v>7.6951264199341257E-3</v>
      </c>
      <c r="H38" s="47">
        <f>(B38/B39)-1</f>
        <v>-6.7380255659941213E-3</v>
      </c>
      <c r="I38" s="47">
        <f>(C38/C39)-1</f>
        <v>7.6951264199340841E-3</v>
      </c>
    </row>
    <row r="39" spans="1:9">
      <c r="A39" s="43">
        <v>45783</v>
      </c>
      <c r="B39" s="44">
        <v>259.72000000000003</v>
      </c>
      <c r="C39" s="44">
        <v>545.79999999999995</v>
      </c>
      <c r="E39" s="45">
        <f t="shared" si="0"/>
        <v>-4.1792876040028177E-3</v>
      </c>
      <c r="F39" s="45">
        <f t="shared" si="1"/>
        <v>-1.7638588912887092E-2</v>
      </c>
      <c r="H39" s="47">
        <f>(B39/B40)-1</f>
        <v>-4.1792876040027682E-3</v>
      </c>
      <c r="I39" s="47">
        <f>(C39/C40)-1</f>
        <v>-1.7638588912887054E-2</v>
      </c>
    </row>
    <row r="40" spans="1:9">
      <c r="A40" s="43">
        <v>45784</v>
      </c>
      <c r="B40" s="44">
        <v>260.81</v>
      </c>
      <c r="C40" s="44">
        <v>555.6</v>
      </c>
      <c r="E40" s="45">
        <f t="shared" si="0"/>
        <v>3.0768047382793407E-3</v>
      </c>
      <c r="F40" s="45">
        <f t="shared" si="1"/>
        <v>-2.8671328671328631E-2</v>
      </c>
      <c r="H40" s="47">
        <f>(B40/B41)-1</f>
        <v>3.0768047382794261E-3</v>
      </c>
      <c r="I40" s="47">
        <f>(C40/C41)-1</f>
        <v>-2.86713286713286E-2</v>
      </c>
    </row>
    <row r="41" spans="1:9">
      <c r="A41" s="43">
        <v>45785</v>
      </c>
      <c r="B41" s="44">
        <v>260.01</v>
      </c>
      <c r="C41" s="44">
        <v>572</v>
      </c>
      <c r="E41" s="45">
        <f t="shared" si="0"/>
        <v>3.3959788523134932E-3</v>
      </c>
      <c r="F41" s="45">
        <f t="shared" si="1"/>
        <v>1.7513134851138354E-3</v>
      </c>
      <c r="H41" s="47">
        <f>(B41/B42)-1</f>
        <v>3.3959788523134637E-3</v>
      </c>
      <c r="I41" s="47">
        <f>(C41/C42)-1</f>
        <v>1.7513134851139256E-3</v>
      </c>
    </row>
    <row r="42" spans="1:9">
      <c r="A42" s="43">
        <v>45786</v>
      </c>
      <c r="B42" s="44">
        <v>259.13</v>
      </c>
      <c r="C42" s="44">
        <v>571</v>
      </c>
      <c r="E42" s="45">
        <f t="shared" si="0"/>
        <v>1.2751159196289956E-3</v>
      </c>
      <c r="F42" s="45">
        <f t="shared" si="1"/>
        <v>-2.9571719918422803E-2</v>
      </c>
      <c r="H42" s="47">
        <f>(B42/B43)-1</f>
        <v>1.2751159196289219E-3</v>
      </c>
      <c r="I42" s="47">
        <f>(C42/C43)-1</f>
        <v>-2.9571719918422779E-2</v>
      </c>
    </row>
    <row r="43" spans="1:9">
      <c r="A43" s="43">
        <v>45789</v>
      </c>
      <c r="B43" s="44">
        <v>258.8</v>
      </c>
      <c r="C43" s="44">
        <v>588.4</v>
      </c>
      <c r="E43" s="45">
        <f t="shared" si="0"/>
        <v>-4.9598216002151706E-3</v>
      </c>
      <c r="F43" s="45">
        <f t="shared" si="1"/>
        <v>-0.13010053222945003</v>
      </c>
      <c r="H43" s="47">
        <f>(B43/B44)-1</f>
        <v>-4.9598216002151307E-3</v>
      </c>
      <c r="I43" s="47">
        <f>(C43/C44)-1</f>
        <v>-0.13010053222945006</v>
      </c>
    </row>
    <row r="44" spans="1:9">
      <c r="A44" s="43">
        <v>45790</v>
      </c>
      <c r="B44" s="44">
        <v>260.08999999999997</v>
      </c>
      <c r="C44" s="44">
        <v>676.4</v>
      </c>
      <c r="E44" s="45">
        <f t="shared" si="0"/>
        <v>-7.706688031742545E-3</v>
      </c>
      <c r="F44" s="45">
        <f t="shared" si="1"/>
        <v>2.1752265861027156E-2</v>
      </c>
      <c r="H44" s="47">
        <f>(B44/B45)-1</f>
        <v>-7.7066880317425701E-3</v>
      </c>
      <c r="I44" s="47">
        <f>(C44/C45)-1</f>
        <v>2.1752265861027187E-2</v>
      </c>
    </row>
    <row r="45" spans="1:9">
      <c r="A45" s="43">
        <v>45791</v>
      </c>
      <c r="B45" s="44">
        <v>262.11</v>
      </c>
      <c r="C45" s="44">
        <v>662</v>
      </c>
      <c r="E45" s="45">
        <f t="shared" si="0"/>
        <v>-1.8351372607767414E-2</v>
      </c>
      <c r="F45" s="45">
        <f t="shared" si="1"/>
        <v>-2.7614571092831896E-2</v>
      </c>
      <c r="H45" s="47">
        <f>(B45/B46)-1</f>
        <v>-1.8351372607767424E-2</v>
      </c>
      <c r="I45" s="47">
        <f>(C45/C46)-1</f>
        <v>-2.7614571092831941E-2</v>
      </c>
    </row>
    <row r="46" spans="1:9">
      <c r="A46" s="43">
        <v>45792</v>
      </c>
      <c r="B46" s="44">
        <v>267.01</v>
      </c>
      <c r="C46" s="44">
        <v>680.8</v>
      </c>
      <c r="E46" s="45">
        <f t="shared" si="0"/>
        <v>-1.3849903973999114E-2</v>
      </c>
      <c r="F46" s="45">
        <f t="shared" si="1"/>
        <v>5.3160070880093162E-3</v>
      </c>
      <c r="H46" s="47">
        <f>(B46/B47)-1</f>
        <v>-1.38499039739991E-2</v>
      </c>
      <c r="I46" s="47">
        <f>(C46/C47)-1</f>
        <v>5.316007088009389E-3</v>
      </c>
    </row>
    <row r="47" spans="1:9">
      <c r="A47" s="43">
        <v>45793</v>
      </c>
      <c r="B47" s="44">
        <v>270.76</v>
      </c>
      <c r="C47" s="44">
        <v>677.2</v>
      </c>
      <c r="E47" s="45">
        <f t="shared" si="0"/>
        <v>-3.1294871322853457E-3</v>
      </c>
      <c r="F47" s="45">
        <f t="shared" si="1"/>
        <v>-2.6451983898792376E-2</v>
      </c>
      <c r="H47" s="47">
        <f>(B47/B48)-1</f>
        <v>-3.1294871322853357E-3</v>
      </c>
      <c r="I47" s="47">
        <f>(C47/C48)-1</f>
        <v>-2.6451983898792331E-2</v>
      </c>
    </row>
    <row r="48" spans="1:9">
      <c r="A48" s="43">
        <v>45796</v>
      </c>
      <c r="B48" s="44">
        <v>271.61</v>
      </c>
      <c r="C48" s="44">
        <v>695.6</v>
      </c>
      <c r="E48" s="45">
        <f t="shared" si="0"/>
        <v>-4.4351587127042721E-3</v>
      </c>
      <c r="F48" s="45">
        <f t="shared" si="1"/>
        <v>-1.6958733747880157E-2</v>
      </c>
      <c r="H48" s="47">
        <f>(B48/B49)-1</f>
        <v>-4.4351587127042791E-3</v>
      </c>
      <c r="I48" s="47">
        <f>(C48/C49)-1</f>
        <v>-1.695873374788015E-2</v>
      </c>
    </row>
    <row r="49" spans="1:9">
      <c r="A49" s="43">
        <v>45797</v>
      </c>
      <c r="B49" s="44">
        <v>272.82</v>
      </c>
      <c r="C49" s="44">
        <v>707.6</v>
      </c>
      <c r="E49" s="45">
        <f t="shared" si="0"/>
        <v>-2.4862888482632792E-3</v>
      </c>
      <c r="F49" s="45">
        <f t="shared" si="1"/>
        <v>5.9709980096673953E-3</v>
      </c>
      <c r="H49" s="47">
        <f>(B49/B50)-1</f>
        <v>-2.4862888482632961E-3</v>
      </c>
      <c r="I49" s="47">
        <f>(C49/C50)-1</f>
        <v>5.9709980096673831E-3</v>
      </c>
    </row>
    <row r="50" spans="1:9">
      <c r="A50" s="43">
        <v>45798</v>
      </c>
      <c r="B50" s="44">
        <v>273.5</v>
      </c>
      <c r="C50" s="44">
        <v>703.4</v>
      </c>
      <c r="E50" s="45">
        <f t="shared" si="0"/>
        <v>1.3180054184667705E-3</v>
      </c>
      <c r="F50" s="45">
        <f t="shared" si="1"/>
        <v>5.6899004267422083E-4</v>
      </c>
      <c r="H50" s="47">
        <f>(B50/B51)-1</f>
        <v>1.3180054184667167E-3</v>
      </c>
      <c r="I50" s="47">
        <f>(C50/C51)-1</f>
        <v>5.6899004267418896E-4</v>
      </c>
    </row>
    <row r="51" spans="1:9">
      <c r="A51" s="43">
        <v>45799</v>
      </c>
      <c r="B51" s="44">
        <v>273.14</v>
      </c>
      <c r="C51" s="44">
        <v>703</v>
      </c>
      <c r="E51" s="45">
        <f t="shared" si="0"/>
        <v>-1.4988119173826541E-3</v>
      </c>
      <c r="F51" s="45">
        <f t="shared" si="1"/>
        <v>1.4245014245014246E-3</v>
      </c>
      <c r="H51" s="47">
        <f>(B51/B52)-1</f>
        <v>-1.4988119173826586E-3</v>
      </c>
      <c r="I51" s="47">
        <f>(C51/C52)-1</f>
        <v>1.4245014245013454E-3</v>
      </c>
    </row>
    <row r="52" spans="1:9">
      <c r="A52" s="43">
        <v>45800</v>
      </c>
      <c r="B52" s="44">
        <v>273.55</v>
      </c>
      <c r="C52" s="44">
        <v>702</v>
      </c>
      <c r="E52" s="45">
        <f t="shared" si="0"/>
        <v>5.291977509095578E-3</v>
      </c>
      <c r="F52" s="45">
        <f t="shared" si="1"/>
        <v>4.0045766590388367E-3</v>
      </c>
      <c r="H52" s="47">
        <f>(B52/B53)-1</f>
        <v>5.2919775090956023E-3</v>
      </c>
      <c r="I52" s="47">
        <f>(C52/C53)-1</f>
        <v>4.004576659038861E-3</v>
      </c>
    </row>
    <row r="53" spans="1:9">
      <c r="A53" s="43">
        <v>45803</v>
      </c>
      <c r="B53" s="44">
        <v>272.11</v>
      </c>
      <c r="C53" s="44">
        <v>699.2</v>
      </c>
      <c r="E53" s="45">
        <f t="shared" si="0"/>
        <v>5.134456264775363E-3</v>
      </c>
      <c r="F53" s="45">
        <f t="shared" si="1"/>
        <v>-5.7175528873638828E-4</v>
      </c>
      <c r="H53" s="47">
        <f>(B53/B54)-1</f>
        <v>5.1344562647752667E-3</v>
      </c>
      <c r="I53" s="47">
        <f>(C53/C54)-1</f>
        <v>-5.7175528873643078E-4</v>
      </c>
    </row>
    <row r="54" spans="1:9">
      <c r="A54" s="43">
        <v>45804</v>
      </c>
      <c r="B54" s="44">
        <v>270.72000000000003</v>
      </c>
      <c r="C54" s="44">
        <v>699.6</v>
      </c>
      <c r="E54" s="45">
        <f t="shared" si="0"/>
        <v>-9.8387037782085417E-3</v>
      </c>
      <c r="F54" s="45">
        <f t="shared" si="1"/>
        <v>7.7787381158167341E-3</v>
      </c>
      <c r="H54" s="47">
        <f>(B54/B55)-1</f>
        <v>-9.8387037782085018E-3</v>
      </c>
      <c r="I54" s="47">
        <f>(C54/C55)-1</f>
        <v>7.7787381158167523E-3</v>
      </c>
    </row>
    <row r="55" spans="1:9">
      <c r="A55" s="43">
        <v>45805</v>
      </c>
      <c r="B55" s="44">
        <v>273.41000000000003</v>
      </c>
      <c r="C55" s="44">
        <v>694.2</v>
      </c>
      <c r="E55" s="45">
        <f t="shared" si="0"/>
        <v>5.4056041773921717E-3</v>
      </c>
      <c r="F55" s="45">
        <f t="shared" si="1"/>
        <v>-2.7458671896889761E-2</v>
      </c>
      <c r="H55" s="47">
        <f>(B55/B56)-1</f>
        <v>5.4056041773922203E-3</v>
      </c>
      <c r="I55" s="47">
        <f>(C55/C56)-1</f>
        <v>-2.7458671896889775E-2</v>
      </c>
    </row>
    <row r="56" spans="1:9">
      <c r="A56" s="43">
        <v>45810</v>
      </c>
      <c r="B56" s="44">
        <v>271.94</v>
      </c>
      <c r="C56" s="44">
        <v>713.8</v>
      </c>
      <c r="E56" s="45">
        <f t="shared" si="0"/>
        <v>1.2887072425347868E-3</v>
      </c>
      <c r="F56" s="45">
        <f t="shared" si="1"/>
        <v>3.1204854088413621E-2</v>
      </c>
      <c r="H56" s="47">
        <f>(B56/B57)-1</f>
        <v>1.2887072425347146E-3</v>
      </c>
      <c r="I56" s="47">
        <f>(C56/C57)-1</f>
        <v>3.1204854088413558E-2</v>
      </c>
    </row>
    <row r="57" spans="1:9">
      <c r="A57" s="43">
        <v>45811</v>
      </c>
      <c r="B57" s="44">
        <v>271.58999999999997</v>
      </c>
      <c r="C57" s="44">
        <v>692.2</v>
      </c>
      <c r="E57" s="45">
        <f t="shared" si="0"/>
        <v>-1.0060142154182787E-2</v>
      </c>
      <c r="F57" s="45">
        <f t="shared" si="1"/>
        <v>-9.4447624499140095E-3</v>
      </c>
      <c r="H57" s="47">
        <f>(B57/B58)-1</f>
        <v>-1.0060142154182827E-2</v>
      </c>
      <c r="I57" s="47">
        <f>(C57/C58)-1</f>
        <v>-9.4447624499139904E-3</v>
      </c>
    </row>
    <row r="58" spans="1:9">
      <c r="A58" s="43">
        <v>45812</v>
      </c>
      <c r="B58" s="44">
        <v>274.35000000000002</v>
      </c>
      <c r="C58" s="44">
        <v>698.8</v>
      </c>
      <c r="E58" s="45">
        <f t="shared" si="0"/>
        <v>1.825817053131276E-3</v>
      </c>
      <c r="F58" s="45">
        <f t="shared" si="1"/>
        <v>-1.2157195363302266E-2</v>
      </c>
      <c r="H58" s="47">
        <f>(B58/B59)-1</f>
        <v>1.82581705313134E-3</v>
      </c>
      <c r="I58" s="47">
        <f>(C58/C59)-1</f>
        <v>-1.2157195363302287E-2</v>
      </c>
    </row>
    <row r="59" spans="1:9">
      <c r="A59" s="43">
        <v>45814</v>
      </c>
      <c r="B59" s="44">
        <v>273.85000000000002</v>
      </c>
      <c r="C59" s="44">
        <v>707.4</v>
      </c>
      <c r="E59" s="45">
        <f t="shared" si="0"/>
        <v>-1.4998920940939355E-2</v>
      </c>
      <c r="F59" s="45">
        <f t="shared" si="1"/>
        <v>8.4889643463500672E-4</v>
      </c>
      <c r="H59" s="47">
        <f>(B59/B60)-1</f>
        <v>-1.4998920940939353E-2</v>
      </c>
      <c r="I59" s="47">
        <f>(C59/C60)-1</f>
        <v>8.4889643463492703E-4</v>
      </c>
    </row>
    <row r="60" spans="1:9">
      <c r="A60" s="43">
        <v>45818</v>
      </c>
      <c r="B60" s="44">
        <v>278.02</v>
      </c>
      <c r="C60" s="44">
        <v>706.8</v>
      </c>
      <c r="E60" s="45">
        <f t="shared" si="0"/>
        <v>9.0002520070561981E-4</v>
      </c>
      <c r="F60" s="45">
        <f t="shared" si="1"/>
        <v>-2.0509977827051093E-2</v>
      </c>
      <c r="H60" s="47">
        <f>(B60/B61)-1</f>
        <v>9.0002520070564529E-4</v>
      </c>
      <c r="I60" s="47">
        <f>(C60/C61)-1</f>
        <v>-2.0509977827051107E-2</v>
      </c>
    </row>
    <row r="61" spans="1:9">
      <c r="A61" s="43">
        <v>45819</v>
      </c>
      <c r="B61" s="44">
        <v>277.77</v>
      </c>
      <c r="C61" s="44">
        <v>721.6</v>
      </c>
      <c r="E61" s="45">
        <f t="shared" si="0"/>
        <v>-2.6928048255062476E-3</v>
      </c>
      <c r="F61" s="45">
        <f t="shared" si="1"/>
        <v>-9.3355299286105916E-3</v>
      </c>
      <c r="H61" s="47">
        <f>(B61/B62)-1</f>
        <v>-2.6928048255062675E-3</v>
      </c>
      <c r="I61" s="47">
        <f>(C61/C62)-1</f>
        <v>-9.3355299286106419E-3</v>
      </c>
    </row>
    <row r="62" spans="1:9">
      <c r="A62" s="43">
        <v>45820</v>
      </c>
      <c r="B62" s="44">
        <v>278.52</v>
      </c>
      <c r="C62" s="44">
        <v>728.4</v>
      </c>
      <c r="E62" s="45">
        <f t="shared" si="0"/>
        <v>5.7778419760218325E-3</v>
      </c>
      <c r="F62" s="45">
        <f t="shared" si="1"/>
        <v>-1.5675675675675706E-2</v>
      </c>
      <c r="H62" s="47">
        <f>(B62/B63)-1</f>
        <v>5.7778419760219357E-3</v>
      </c>
      <c r="I62" s="47">
        <f>(C62/C63)-1</f>
        <v>-1.5675675675675738E-2</v>
      </c>
    </row>
    <row r="63" spans="1:9">
      <c r="A63" s="43">
        <v>45821</v>
      </c>
      <c r="B63" s="44">
        <v>276.92</v>
      </c>
      <c r="C63" s="44">
        <v>740</v>
      </c>
      <c r="E63" s="45">
        <f t="shared" si="0"/>
        <v>-2.557360515794329E-3</v>
      </c>
      <c r="F63" s="45">
        <f t="shared" si="1"/>
        <v>5.434782608695652E-3</v>
      </c>
      <c r="H63" s="47">
        <f>(B63/B64)-1</f>
        <v>-2.5573605157943602E-3</v>
      </c>
      <c r="I63" s="47">
        <f>(C63/C64)-1</f>
        <v>5.4347826086955653E-3</v>
      </c>
    </row>
    <row r="64" spans="1:9">
      <c r="A64" s="43">
        <v>45824</v>
      </c>
      <c r="B64" s="44">
        <v>277.63</v>
      </c>
      <c r="C64" s="44">
        <v>736</v>
      </c>
      <c r="E64" s="45">
        <f t="shared" si="0"/>
        <v>-3.1954617262673645E-3</v>
      </c>
      <c r="F64" s="45">
        <f t="shared" si="1"/>
        <v>1.4332965821389163E-2</v>
      </c>
      <c r="H64" s="47">
        <f>(B64/B65)-1</f>
        <v>-3.1954617262673901E-3</v>
      </c>
      <c r="I64" s="47">
        <f>(C64/C65)-1</f>
        <v>1.4332965821389099E-2</v>
      </c>
    </row>
    <row r="65" spans="1:9">
      <c r="A65" s="43">
        <v>45825</v>
      </c>
      <c r="B65" s="44">
        <v>278.52</v>
      </c>
      <c r="C65" s="44">
        <v>725.6</v>
      </c>
      <c r="E65" s="45">
        <f t="shared" si="0"/>
        <v>-6.8463842533162738E-3</v>
      </c>
      <c r="F65" s="45">
        <f t="shared" si="1"/>
        <v>-2.3155627355950368E-2</v>
      </c>
      <c r="H65" s="47">
        <f>(B65/B66)-1</f>
        <v>-6.8463842533162955E-3</v>
      </c>
      <c r="I65" s="47">
        <f>(C65/C66)-1</f>
        <v>-2.3155627355950337E-2</v>
      </c>
    </row>
    <row r="66" spans="1:9">
      <c r="A66" s="43">
        <v>45826</v>
      </c>
      <c r="B66" s="44">
        <v>280.44</v>
      </c>
      <c r="C66" s="44">
        <v>742.8</v>
      </c>
      <c r="E66" s="45">
        <f t="shared" ref="E66:E128" si="2">(B66-B67)/B67</f>
        <v>-1.2117796251937431E-2</v>
      </c>
      <c r="F66" s="45">
        <f t="shared" ref="F66:F128" si="3">(C66-C67)/C67</f>
        <v>-3.4070221066319954E-2</v>
      </c>
      <c r="H66" s="47">
        <f>(B66/B67)-1</f>
        <v>-1.2117796251937429E-2</v>
      </c>
      <c r="I66" s="47">
        <f>(C66/C67)-1</f>
        <v>-3.4070221066319961E-2</v>
      </c>
    </row>
    <row r="67" spans="1:9">
      <c r="A67" s="43">
        <v>45827</v>
      </c>
      <c r="B67" s="44">
        <v>283.88</v>
      </c>
      <c r="C67" s="44">
        <v>769</v>
      </c>
      <c r="E67" s="45">
        <f t="shared" si="2"/>
        <v>-7.1348628987129977E-3</v>
      </c>
      <c r="F67" s="45">
        <f t="shared" si="3"/>
        <v>-2.6001040041607576E-4</v>
      </c>
      <c r="H67" s="47">
        <f>(B67/B68)-1</f>
        <v>-7.1348628987130125E-3</v>
      </c>
      <c r="I67" s="47">
        <f>(C67/C68)-1</f>
        <v>-2.6001040041612189E-4</v>
      </c>
    </row>
    <row r="68" spans="1:9">
      <c r="A68" s="43">
        <v>45828</v>
      </c>
      <c r="B68" s="44">
        <v>285.92</v>
      </c>
      <c r="C68" s="44">
        <v>769.2</v>
      </c>
      <c r="E68" s="45">
        <f t="shared" si="2"/>
        <v>1.088954886154731E-2</v>
      </c>
      <c r="F68" s="45">
        <f t="shared" si="3"/>
        <v>-1.03896103896098E-3</v>
      </c>
      <c r="H68" s="47">
        <f>(B68/B69)-1</f>
        <v>1.0889548861547249E-2</v>
      </c>
      <c r="I68" s="47">
        <f>(C68/C69)-1</f>
        <v>-1.0389610389609505E-3</v>
      </c>
    </row>
    <row r="69" spans="1:9">
      <c r="A69" s="43">
        <v>45831</v>
      </c>
      <c r="B69" s="44">
        <v>282.83999999999997</v>
      </c>
      <c r="C69" s="44">
        <v>770</v>
      </c>
      <c r="E69" s="45">
        <f t="shared" si="2"/>
        <v>1.5255393230194911E-2</v>
      </c>
      <c r="F69" s="45">
        <f t="shared" si="3"/>
        <v>5.7471264367815796E-3</v>
      </c>
      <c r="H69" s="47">
        <f>(B69/B70)-1</f>
        <v>1.5255393230194869E-2</v>
      </c>
      <c r="I69" s="47">
        <f>(C69/C70)-1</f>
        <v>5.7471264367816577E-3</v>
      </c>
    </row>
    <row r="70" spans="1:9">
      <c r="A70" s="43">
        <v>45832</v>
      </c>
      <c r="B70" s="44">
        <v>278.58999999999997</v>
      </c>
      <c r="C70" s="44">
        <v>765.6</v>
      </c>
      <c r="E70" s="45">
        <f t="shared" si="2"/>
        <v>4.6882325363336377E-3</v>
      </c>
      <c r="F70" s="45">
        <f t="shared" si="3"/>
        <v>6.5737575598211933E-3</v>
      </c>
      <c r="H70" s="47">
        <f>(B70/B71)-1</f>
        <v>4.6882325363335475E-3</v>
      </c>
      <c r="I70" s="47">
        <f>(C70/C71)-1</f>
        <v>6.5737575598212583E-3</v>
      </c>
    </row>
    <row r="71" spans="1:9">
      <c r="A71" s="43">
        <v>45833</v>
      </c>
      <c r="B71" s="44">
        <v>277.29000000000002</v>
      </c>
      <c r="C71" s="44">
        <v>760.6</v>
      </c>
      <c r="E71" s="45">
        <f t="shared" si="2"/>
        <v>2.0960572440462612E-3</v>
      </c>
      <c r="F71" s="45">
        <f t="shared" si="3"/>
        <v>1.224381155177009E-2</v>
      </c>
      <c r="H71" s="47">
        <f>(B71/B72)-1</f>
        <v>2.0960572440462677E-3</v>
      </c>
      <c r="I71" s="47">
        <f>(C71/C72)-1</f>
        <v>1.2243811551770012E-2</v>
      </c>
    </row>
    <row r="72" spans="1:9">
      <c r="A72" s="43">
        <v>45834</v>
      </c>
      <c r="B72" s="44">
        <v>276.70999999999998</v>
      </c>
      <c r="C72" s="44">
        <v>751.4</v>
      </c>
      <c r="E72" s="45">
        <f t="shared" si="2"/>
        <v>3.8090401218891187E-3</v>
      </c>
      <c r="F72" s="45">
        <f t="shared" si="3"/>
        <v>-1.3910761154855672E-2</v>
      </c>
      <c r="H72" s="47">
        <f>(B72/B73)-1</f>
        <v>3.8090401218890957E-3</v>
      </c>
      <c r="I72" s="47">
        <f>(C72/C73)-1</f>
        <v>-1.3910761154855678E-2</v>
      </c>
    </row>
    <row r="73" spans="1:9">
      <c r="A73" s="43">
        <v>45835</v>
      </c>
      <c r="B73" s="44">
        <v>275.66000000000003</v>
      </c>
      <c r="C73" s="44">
        <v>762</v>
      </c>
      <c r="E73" s="45">
        <f t="shared" si="2"/>
        <v>1.6295531632502639E-2</v>
      </c>
      <c r="F73" s="45">
        <f t="shared" si="3"/>
        <v>2.0900321543408391E-2</v>
      </c>
      <c r="H73" s="47">
        <f>(B73/B74)-1</f>
        <v>1.6295531632502636E-2</v>
      </c>
      <c r="I73" s="47">
        <f>(C73/C74)-1</f>
        <v>2.0900321543408484E-2</v>
      </c>
    </row>
    <row r="74" spans="1:9">
      <c r="A74" s="43">
        <v>45838</v>
      </c>
      <c r="B74" s="44">
        <v>271.24</v>
      </c>
      <c r="C74" s="44">
        <v>746.4</v>
      </c>
      <c r="E74" s="45">
        <f t="shared" si="2"/>
        <v>1.9699248120300786E-2</v>
      </c>
      <c r="F74" s="45">
        <f t="shared" si="3"/>
        <v>-9.5541401273885954E-3</v>
      </c>
      <c r="H74" s="47">
        <f>(B74/B75)-1</f>
        <v>1.9699248120300883E-2</v>
      </c>
      <c r="I74" s="47">
        <f>(C74/C75)-1</f>
        <v>-9.5541401273886439E-3</v>
      </c>
    </row>
    <row r="75" spans="1:9">
      <c r="A75" s="43">
        <v>45839</v>
      </c>
      <c r="B75" s="44">
        <v>266</v>
      </c>
      <c r="C75" s="44">
        <v>753.6</v>
      </c>
      <c r="E75" s="45">
        <f t="shared" si="2"/>
        <v>-8.6094442995043128E-3</v>
      </c>
      <c r="F75" s="45">
        <f t="shared" si="3"/>
        <v>1.9204760616716318E-2</v>
      </c>
      <c r="H75" s="47">
        <f>(B75/B76)-1</f>
        <v>-8.6094442995042764E-3</v>
      </c>
      <c r="I75" s="47">
        <f>(C75/C76)-1</f>
        <v>1.9204760616716277E-2</v>
      </c>
    </row>
    <row r="76" spans="1:9">
      <c r="A76" s="43">
        <v>45840</v>
      </c>
      <c r="B76" s="44">
        <v>268.31</v>
      </c>
      <c r="C76" s="44">
        <v>739.4</v>
      </c>
      <c r="E76" s="45">
        <f t="shared" si="2"/>
        <v>4.1917736442232288E-3</v>
      </c>
      <c r="F76" s="45">
        <f t="shared" si="3"/>
        <v>-2.9404043055920162E-2</v>
      </c>
      <c r="H76" s="47">
        <f>(B76/B77)-1</f>
        <v>4.1917736442231845E-3</v>
      </c>
      <c r="I76" s="47">
        <f>(C76/C77)-1</f>
        <v>-2.9404043055920148E-2</v>
      </c>
    </row>
    <row r="77" spans="1:9">
      <c r="A77" s="43">
        <v>45841</v>
      </c>
      <c r="B77" s="44">
        <v>267.19</v>
      </c>
      <c r="C77" s="44">
        <v>761.8</v>
      </c>
      <c r="E77" s="45">
        <f t="shared" si="2"/>
        <v>-7.484749822230385E-5</v>
      </c>
      <c r="F77" s="45">
        <f t="shared" si="3"/>
        <v>-3.4963263237902234E-2</v>
      </c>
      <c r="H77" s="47">
        <f>(B77/B78)-1</f>
        <v>-7.4847498222285758E-5</v>
      </c>
      <c r="I77" s="47">
        <f>(C77/C78)-1</f>
        <v>-3.496326323790222E-2</v>
      </c>
    </row>
    <row r="78" spans="1:9">
      <c r="A78" s="43">
        <v>45842</v>
      </c>
      <c r="B78" s="44">
        <v>267.20999999999998</v>
      </c>
      <c r="C78" s="44">
        <v>789.4</v>
      </c>
      <c r="E78" s="45">
        <f t="shared" si="2"/>
        <v>-1.8187830687830853E-2</v>
      </c>
      <c r="F78" s="45">
        <f t="shared" si="3"/>
        <v>1.049667178699428E-2</v>
      </c>
      <c r="H78" s="47">
        <f>(B78/B79)-1</f>
        <v>-1.8187830687830808E-2</v>
      </c>
      <c r="I78" s="47">
        <f>(C78/C79)-1</f>
        <v>1.0496671786994316E-2</v>
      </c>
    </row>
    <row r="79" spans="1:9">
      <c r="A79" s="43">
        <v>45845</v>
      </c>
      <c r="B79" s="44">
        <v>272.16000000000003</v>
      </c>
      <c r="C79" s="44">
        <v>781.2</v>
      </c>
      <c r="E79" s="45">
        <f t="shared" si="2"/>
        <v>-1.9435989585242317E-3</v>
      </c>
      <c r="F79" s="45">
        <f t="shared" si="3"/>
        <v>-2.3499999999999945E-2</v>
      </c>
      <c r="H79" s="47">
        <f>(B79/B80)-1</f>
        <v>-1.9435989585242508E-3</v>
      </c>
      <c r="I79" s="47">
        <f>(C79/C80)-1</f>
        <v>-2.3499999999999965E-2</v>
      </c>
    </row>
    <row r="80" spans="1:9">
      <c r="A80" s="43">
        <v>45846</v>
      </c>
      <c r="B80" s="44">
        <v>272.69</v>
      </c>
      <c r="C80" s="44">
        <v>800</v>
      </c>
      <c r="E80" s="45">
        <f t="shared" si="2"/>
        <v>-1.9032978295083704E-3</v>
      </c>
      <c r="F80" s="45">
        <f t="shared" si="3"/>
        <v>-6.2111801242236021E-3</v>
      </c>
      <c r="H80" s="47">
        <f>(B80/B81)-1</f>
        <v>-1.9032978295083769E-3</v>
      </c>
      <c r="I80" s="47">
        <f>(C80/C81)-1</f>
        <v>-6.2111801242236142E-3</v>
      </c>
    </row>
    <row r="81" spans="1:9">
      <c r="A81" s="43">
        <v>45847</v>
      </c>
      <c r="B81" s="44">
        <v>273.20999999999998</v>
      </c>
      <c r="C81" s="44">
        <v>805</v>
      </c>
      <c r="E81" s="45">
        <f t="shared" si="2"/>
        <v>-6.4729626531874959E-3</v>
      </c>
      <c r="F81" s="45">
        <f t="shared" si="3"/>
        <v>9.530975670930553E-3</v>
      </c>
      <c r="H81" s="47">
        <f>(B81/B82)-1</f>
        <v>-6.4729626531875306E-3</v>
      </c>
      <c r="I81" s="47">
        <f>(C81/C82)-1</f>
        <v>9.5309756709305304E-3</v>
      </c>
    </row>
    <row r="82" spans="1:9">
      <c r="A82" s="43">
        <v>45848</v>
      </c>
      <c r="B82" s="44">
        <v>274.99</v>
      </c>
      <c r="C82" s="44">
        <v>797.4</v>
      </c>
      <c r="E82" s="45">
        <f ca="1">AVERAGE(E2:E246)</f>
        <v>0</v>
      </c>
      <c r="F82" s="45">
        <f>(C82-C83)/C83</f>
        <v>2.493573264781488E-2</v>
      </c>
      <c r="H82" s="47">
        <f ca="1">AVERAGE(H2:H245)</f>
        <v>0</v>
      </c>
      <c r="I82" s="47">
        <f>(C82/C83)-1</f>
        <v>2.493573264781479E-2</v>
      </c>
    </row>
    <row r="83" spans="1:9">
      <c r="A83" s="43">
        <v>45852</v>
      </c>
      <c r="B83" s="44">
        <v>269.18</v>
      </c>
      <c r="C83" s="44">
        <v>778</v>
      </c>
      <c r="E83" s="45">
        <f t="shared" si="2"/>
        <v>4.5529183460218964E-3</v>
      </c>
      <c r="F83" s="45">
        <f t="shared" si="3"/>
        <v>1.2493492972410232E-2</v>
      </c>
      <c r="H83" s="47">
        <f>(B83/B84)-1</f>
        <v>4.5529183460220057E-3</v>
      </c>
      <c r="I83" s="47">
        <f>(C83/C84)-1</f>
        <v>1.2493492972410314E-2</v>
      </c>
    </row>
    <row r="84" spans="1:9">
      <c r="A84" s="43">
        <v>45853</v>
      </c>
      <c r="B84" s="44">
        <v>267.95999999999998</v>
      </c>
      <c r="C84" s="44">
        <v>768.4</v>
      </c>
      <c r="E84" s="45">
        <f t="shared" si="2"/>
        <v>-4.8280472405853505E-3</v>
      </c>
      <c r="F84" s="45">
        <f t="shared" si="3"/>
        <v>-5.3927604038414262E-2</v>
      </c>
      <c r="H84" s="47">
        <f>(B84/B85)-1</f>
        <v>-4.8280472405853869E-3</v>
      </c>
      <c r="I84" s="47">
        <f>(C84/C85)-1</f>
        <v>-5.3927604038414234E-2</v>
      </c>
    </row>
    <row r="85" spans="1:9">
      <c r="A85" s="43">
        <v>45854</v>
      </c>
      <c r="B85" s="44">
        <v>269.26</v>
      </c>
      <c r="C85" s="44">
        <v>812.2</v>
      </c>
      <c r="E85" s="45">
        <f t="shared" si="2"/>
        <v>-1.3722508622927884E-3</v>
      </c>
      <c r="F85" s="45">
        <f t="shared" si="3"/>
        <v>-1.7182962245885686E-2</v>
      </c>
      <c r="H85" s="47">
        <f>(B85/B86)-1</f>
        <v>-1.3722508622927565E-3</v>
      </c>
      <c r="I85" s="47">
        <f>(C85/C86)-1</f>
        <v>-1.7182962245885669E-2</v>
      </c>
    </row>
    <row r="86" spans="1:9">
      <c r="A86" s="43">
        <v>45855</v>
      </c>
      <c r="B86" s="44">
        <v>269.63</v>
      </c>
      <c r="C86" s="44">
        <v>826.4</v>
      </c>
      <c r="E86" s="45">
        <f t="shared" si="2"/>
        <v>3.7101621340861034E-4</v>
      </c>
      <c r="F86" s="45">
        <f t="shared" si="3"/>
        <v>-4.7487321346242561E-2</v>
      </c>
      <c r="H86" s="47">
        <f>(B86/B87)-1</f>
        <v>3.7101621340851487E-4</v>
      </c>
      <c r="I86" s="47">
        <f>(C86/C87)-1</f>
        <v>-4.7487321346242561E-2</v>
      </c>
    </row>
    <row r="87" spans="1:9">
      <c r="A87" s="43">
        <v>45856</v>
      </c>
      <c r="B87" s="44">
        <v>269.52999999999997</v>
      </c>
      <c r="C87" s="44">
        <v>867.6</v>
      </c>
      <c r="E87" s="45">
        <f t="shared" si="2"/>
        <v>3.6866016235940725E-3</v>
      </c>
      <c r="F87" s="45">
        <f t="shared" si="3"/>
        <v>-4.1322314049587038E-3</v>
      </c>
      <c r="H87" s="47">
        <f>(B87/B88)-1</f>
        <v>3.6866016235941323E-3</v>
      </c>
      <c r="I87" s="47">
        <f>(C87/C88)-1</f>
        <v>-4.1322314049586639E-3</v>
      </c>
    </row>
    <row r="88" spans="1:9">
      <c r="A88" s="43">
        <v>45859</v>
      </c>
      <c r="B88" s="44">
        <v>268.54000000000002</v>
      </c>
      <c r="C88" s="44">
        <v>871.2</v>
      </c>
      <c r="E88" s="45">
        <f t="shared" si="2"/>
        <v>-4.8914251834284187E-3</v>
      </c>
      <c r="F88" s="45">
        <f t="shared" si="3"/>
        <v>-9.3245394587217791E-3</v>
      </c>
      <c r="H88" s="47">
        <f>(B88/B89)-1</f>
        <v>-4.8914251834284439E-3</v>
      </c>
      <c r="I88" s="47">
        <f>(C88/C89)-1</f>
        <v>-9.3245394587218033E-3</v>
      </c>
    </row>
    <row r="89" spans="1:9">
      <c r="A89" s="43">
        <v>45860</v>
      </c>
      <c r="B89" s="44">
        <v>269.86</v>
      </c>
      <c r="C89" s="44">
        <v>879.4</v>
      </c>
      <c r="E89" s="45">
        <f t="shared" si="2"/>
        <v>-3.765505020673294E-3</v>
      </c>
      <c r="F89" s="45">
        <f t="shared" si="3"/>
        <v>-2.7217056021773389E-3</v>
      </c>
      <c r="H89" s="47">
        <f>(B89/B90)-1</f>
        <v>-3.7655050206732987E-3</v>
      </c>
      <c r="I89" s="47">
        <f>(C89/C90)-1</f>
        <v>-2.7217056021773267E-3</v>
      </c>
    </row>
    <row r="90" spans="1:9">
      <c r="A90" s="43">
        <v>45861</v>
      </c>
      <c r="B90" s="44">
        <v>270.88</v>
      </c>
      <c r="C90" s="44">
        <v>881.8</v>
      </c>
      <c r="E90" s="45">
        <f t="shared" si="2"/>
        <v>6.2780935398788875E-3</v>
      </c>
      <c r="F90" s="45">
        <f t="shared" si="3"/>
        <v>-8.767985611510867E-3</v>
      </c>
      <c r="H90" s="47">
        <f>(B90/B91)-1</f>
        <v>6.2780935398789595E-3</v>
      </c>
      <c r="I90" s="47">
        <f>(C90/C91)-1</f>
        <v>-8.7679856115108201E-3</v>
      </c>
    </row>
    <row r="91" spans="1:9">
      <c r="A91" s="43">
        <v>45862</v>
      </c>
      <c r="B91" s="44">
        <v>269.19</v>
      </c>
      <c r="C91" s="44">
        <v>889.6</v>
      </c>
      <c r="E91" s="45">
        <f t="shared" si="2"/>
        <v>2.607173451525154E-3</v>
      </c>
      <c r="F91" s="45">
        <f t="shared" si="3"/>
        <v>2.2487069934792612E-4</v>
      </c>
      <c r="H91" s="47">
        <f>(B91/B92)-1</f>
        <v>2.6071734515251688E-3</v>
      </c>
      <c r="I91" s="47">
        <f>(C91/C92)-1</f>
        <v>2.2487069934795656E-4</v>
      </c>
    </row>
    <row r="92" spans="1:9">
      <c r="A92" s="43">
        <v>45863</v>
      </c>
      <c r="B92" s="44">
        <v>268.49</v>
      </c>
      <c r="C92" s="44">
        <v>889.4</v>
      </c>
      <c r="E92" s="45">
        <f t="shared" si="2"/>
        <v>7.0816250465895539E-4</v>
      </c>
      <c r="F92" s="45">
        <f t="shared" si="3"/>
        <v>7.2480181200452742E-3</v>
      </c>
      <c r="H92" s="47">
        <f>(B92/B93)-1</f>
        <v>7.0816250465899344E-4</v>
      </c>
      <c r="I92" s="47">
        <f>(C92/C93)-1</f>
        <v>7.2480181200453853E-3</v>
      </c>
    </row>
    <row r="93" spans="1:9">
      <c r="A93" s="43">
        <v>45866</v>
      </c>
      <c r="B93" s="44">
        <v>268.3</v>
      </c>
      <c r="C93" s="44">
        <v>883</v>
      </c>
      <c r="E93" s="45">
        <f t="shared" si="2"/>
        <v>2.2796584324489243E-2</v>
      </c>
      <c r="F93" s="45">
        <f t="shared" si="3"/>
        <v>2.1281517464723544E-2</v>
      </c>
      <c r="H93" s="47">
        <f>(B93/B94)-1</f>
        <v>2.2796584324489277E-2</v>
      </c>
      <c r="I93" s="47">
        <f>(C93/C94)-1</f>
        <v>2.128151746472362E-2</v>
      </c>
    </row>
    <row r="94" spans="1:9">
      <c r="A94" s="43">
        <v>45867</v>
      </c>
      <c r="B94" s="44">
        <v>262.32</v>
      </c>
      <c r="C94" s="44">
        <v>864.6</v>
      </c>
      <c r="E94" s="45">
        <f t="shared" si="2"/>
        <v>1.246671040951028E-2</v>
      </c>
      <c r="F94" s="45">
        <f t="shared" si="3"/>
        <v>-3.2280378141571991E-3</v>
      </c>
      <c r="H94" s="47">
        <f>(B94/B95)-1</f>
        <v>1.2466710409510195E-2</v>
      </c>
      <c r="I94" s="47">
        <f>(C94/C95)-1</f>
        <v>-3.2280378141571475E-3</v>
      </c>
    </row>
    <row r="95" spans="1:9">
      <c r="A95" s="43">
        <v>45868</v>
      </c>
      <c r="B95" s="44">
        <v>259.08999999999997</v>
      </c>
      <c r="C95" s="44">
        <v>867.4</v>
      </c>
      <c r="E95" s="45">
        <f t="shared" si="2"/>
        <v>4.3805241122654506E-3</v>
      </c>
      <c r="F95" s="45">
        <f t="shared" si="3"/>
        <v>4.1796781167427279E-2</v>
      </c>
      <c r="H95" s="47">
        <f>(B95/B96)-1</f>
        <v>4.3805241122654159E-3</v>
      </c>
      <c r="I95" s="47">
        <f>(C95/C96)-1</f>
        <v>4.1796781167427355E-2</v>
      </c>
    </row>
    <row r="96" spans="1:9">
      <c r="A96" s="43">
        <v>45869</v>
      </c>
      <c r="B96" s="44">
        <v>257.95999999999998</v>
      </c>
      <c r="C96" s="44">
        <v>832.6</v>
      </c>
      <c r="E96" s="45">
        <f t="shared" si="2"/>
        <v>-1.6433446448316631E-2</v>
      </c>
      <c r="F96" s="45">
        <f t="shared" si="3"/>
        <v>1.0436893203883522E-2</v>
      </c>
      <c r="H96" s="47">
        <f>(B96/B97)-1</f>
        <v>-1.643344644831668E-2</v>
      </c>
      <c r="I96" s="47">
        <f>(C96/C97)-1</f>
        <v>1.0436893203883413E-2</v>
      </c>
    </row>
    <row r="97" spans="1:9">
      <c r="A97" s="43">
        <v>45870</v>
      </c>
      <c r="B97" s="44">
        <v>262.27</v>
      </c>
      <c r="C97" s="44">
        <v>824</v>
      </c>
      <c r="E97" s="45">
        <f t="shared" si="2"/>
        <v>2.0249102162450245E-3</v>
      </c>
      <c r="F97" s="45">
        <f t="shared" si="3"/>
        <v>1.9455252918288216E-3</v>
      </c>
      <c r="H97" s="47">
        <f>(B97/B98)-1</f>
        <v>2.0249102162450683E-3</v>
      </c>
      <c r="I97" s="47">
        <f>(C97/C98)-1</f>
        <v>1.9455252918287869E-3</v>
      </c>
    </row>
    <row r="98" spans="1:9">
      <c r="A98" s="43">
        <v>45873</v>
      </c>
      <c r="B98" s="44">
        <v>261.74</v>
      </c>
      <c r="C98" s="44">
        <v>822.4</v>
      </c>
      <c r="E98" s="45">
        <f t="shared" si="2"/>
        <v>3.9434494261546431E-2</v>
      </c>
      <c r="F98" s="45">
        <f t="shared" si="3"/>
        <v>1.206005414718183E-2</v>
      </c>
      <c r="H98" s="47">
        <f>(B98/B99)-1</f>
        <v>3.9434494261546327E-2</v>
      </c>
      <c r="I98" s="47">
        <f>(C98/C99)-1</f>
        <v>1.2060054147181809E-2</v>
      </c>
    </row>
    <row r="99" spans="1:9">
      <c r="A99" s="43">
        <v>45874</v>
      </c>
      <c r="B99" s="44">
        <v>251.81</v>
      </c>
      <c r="C99" s="44">
        <v>812.6</v>
      </c>
      <c r="E99" s="45">
        <f t="shared" si="2"/>
        <v>1.955623937160909E-2</v>
      </c>
      <c r="F99" s="45">
        <f t="shared" si="3"/>
        <v>2.1367521367521368E-2</v>
      </c>
      <c r="H99" s="47">
        <f>(B99/B100)-1</f>
        <v>1.9556239371609108E-2</v>
      </c>
      <c r="I99" s="47">
        <f>(C99/C100)-1</f>
        <v>2.1367521367521292E-2</v>
      </c>
    </row>
    <row r="100" spans="1:9">
      <c r="A100" s="43">
        <v>45875</v>
      </c>
      <c r="B100" s="44">
        <v>246.98</v>
      </c>
      <c r="C100" s="44">
        <v>795.6</v>
      </c>
      <c r="E100" s="45">
        <f t="shared" si="2"/>
        <v>-7.5943263551252246E-3</v>
      </c>
      <c r="F100" s="45">
        <f t="shared" si="3"/>
        <v>-3.2573289902280414E-3</v>
      </c>
      <c r="H100" s="47">
        <f>(B100/B101)-1</f>
        <v>-7.5943263551252471E-3</v>
      </c>
      <c r="I100" s="47">
        <f>(C100/C101)-1</f>
        <v>-3.2573289902280145E-3</v>
      </c>
    </row>
    <row r="101" spans="1:9">
      <c r="A101" s="43">
        <v>45876</v>
      </c>
      <c r="B101" s="44">
        <v>248.87</v>
      </c>
      <c r="C101" s="44">
        <v>798.2</v>
      </c>
      <c r="E101" s="45">
        <f t="shared" si="2"/>
        <v>6.3485644965628509E-3</v>
      </c>
      <c r="F101" s="45">
        <f t="shared" si="3"/>
        <v>-1.6025641025641024E-2</v>
      </c>
      <c r="H101" s="47">
        <f>(B101/B102)-1</f>
        <v>6.3485644965628474E-3</v>
      </c>
      <c r="I101" s="47">
        <f>(C101/C102)-1</f>
        <v>-1.602564102564108E-2</v>
      </c>
    </row>
    <row r="102" spans="1:9">
      <c r="A102" s="43">
        <v>45877</v>
      </c>
      <c r="B102" s="44">
        <v>247.3</v>
      </c>
      <c r="C102" s="44">
        <v>811.2</v>
      </c>
      <c r="E102" s="45">
        <f t="shared" si="2"/>
        <v>4.4500182046204801E-4</v>
      </c>
      <c r="F102" s="45">
        <f t="shared" si="3"/>
        <v>-1.8393030009680459E-2</v>
      </c>
      <c r="H102" s="47">
        <f>(B102/B103)-1</f>
        <v>4.4500182046203207E-4</v>
      </c>
      <c r="I102" s="47">
        <f>(C102/C103)-1</f>
        <v>-1.8393030009680511E-2</v>
      </c>
    </row>
    <row r="103" spans="1:9">
      <c r="A103" s="43">
        <v>45880</v>
      </c>
      <c r="B103" s="44">
        <v>247.19</v>
      </c>
      <c r="C103" s="44">
        <v>826.4</v>
      </c>
      <c r="E103" s="45">
        <f t="shared" si="2"/>
        <v>9.7630718954247811E-3</v>
      </c>
      <c r="F103" s="45">
        <f t="shared" si="3"/>
        <v>-1.6190476190476217E-2</v>
      </c>
      <c r="H103" s="47">
        <f>(B103/B104)-1</f>
        <v>9.7630718954246909E-3</v>
      </c>
      <c r="I103" s="47">
        <f>(C103/C104)-1</f>
        <v>-1.61904761904762E-2</v>
      </c>
    </row>
    <row r="104" spans="1:9">
      <c r="A104" s="43">
        <v>45881</v>
      </c>
      <c r="B104" s="44">
        <v>244.8</v>
      </c>
      <c r="C104" s="44">
        <v>840</v>
      </c>
      <c r="E104" s="45">
        <f t="shared" si="2"/>
        <v>-3.4548035967818233E-2</v>
      </c>
      <c r="F104" s="45">
        <f t="shared" si="3"/>
        <v>1.6949152542372881E-2</v>
      </c>
      <c r="H104" s="47">
        <f>(B104/B105)-1</f>
        <v>-3.4548035967818191E-2</v>
      </c>
      <c r="I104" s="47">
        <f>(C104/C105)-1</f>
        <v>1.6949152542372836E-2</v>
      </c>
    </row>
    <row r="105" spans="1:9">
      <c r="A105" s="43">
        <v>45882</v>
      </c>
      <c r="B105" s="44">
        <v>253.56</v>
      </c>
      <c r="C105" s="44">
        <v>826</v>
      </c>
      <c r="E105" s="45">
        <f t="shared" si="2"/>
        <v>-1.5568583297744267E-2</v>
      </c>
      <c r="F105" s="45">
        <f t="shared" si="3"/>
        <v>1.2121212121212121E-3</v>
      </c>
      <c r="H105" s="47">
        <f>(B105/B106)-1</f>
        <v>-1.5568583297744243E-2</v>
      </c>
      <c r="I105" s="47">
        <f>(C105/C106)-1</f>
        <v>1.2121212121212199E-3</v>
      </c>
    </row>
    <row r="106" spans="1:9">
      <c r="A106" s="43">
        <v>45883</v>
      </c>
      <c r="B106" s="44">
        <v>257.57</v>
      </c>
      <c r="C106" s="44">
        <v>825</v>
      </c>
      <c r="E106" s="45">
        <f t="shared" si="2"/>
        <v>6.1721160982850269E-3</v>
      </c>
      <c r="F106" s="45">
        <f t="shared" si="3"/>
        <v>6.0975609756097563E-3</v>
      </c>
      <c r="H106" s="47">
        <f>(B106/B107)-1</f>
        <v>6.172116098285052E-3</v>
      </c>
      <c r="I106" s="47">
        <f>(C106/C107)-1</f>
        <v>6.0975609756097615E-3</v>
      </c>
    </row>
    <row r="107" spans="1:9">
      <c r="A107" s="43">
        <v>45884</v>
      </c>
      <c r="B107" s="44">
        <v>255.99</v>
      </c>
      <c r="C107" s="44">
        <v>820</v>
      </c>
      <c r="E107" s="45">
        <f t="shared" si="2"/>
        <v>-8.1967213114746119E-4</v>
      </c>
      <c r="F107" s="45">
        <f t="shared" si="3"/>
        <v>-1.3474494706448563E-2</v>
      </c>
      <c r="H107" s="47">
        <f>(B107/B108)-1</f>
        <v>-8.1967213114741977E-4</v>
      </c>
      <c r="I107" s="47">
        <f>(C107/C108)-1</f>
        <v>-1.347449470644857E-2</v>
      </c>
    </row>
    <row r="108" spans="1:9">
      <c r="A108" s="43">
        <v>45887</v>
      </c>
      <c r="B108" s="44">
        <v>256.2</v>
      </c>
      <c r="C108" s="44">
        <v>831.2</v>
      </c>
      <c r="E108" s="45">
        <f t="shared" si="2"/>
        <v>-5.1644468605598738E-3</v>
      </c>
      <c r="F108" s="45">
        <f t="shared" si="3"/>
        <v>-1.3295346628679882E-2</v>
      </c>
      <c r="H108" s="47">
        <f>(B108/B109)-1</f>
        <v>-5.1644468605598348E-3</v>
      </c>
      <c r="I108" s="47">
        <f>(C108/C109)-1</f>
        <v>-1.3295346628679927E-2</v>
      </c>
    </row>
    <row r="109" spans="1:9">
      <c r="A109" s="43">
        <v>45888</v>
      </c>
      <c r="B109" s="44">
        <v>257.52999999999997</v>
      </c>
      <c r="C109" s="44">
        <v>842.4</v>
      </c>
      <c r="E109" s="45">
        <f t="shared" si="2"/>
        <v>3.4678927680797476E-3</v>
      </c>
      <c r="F109" s="45">
        <f t="shared" si="3"/>
        <v>1.6900048285852245E-2</v>
      </c>
      <c r="H109" s="47">
        <f>(B109/B110)-1</f>
        <v>3.4678927680797944E-3</v>
      </c>
      <c r="I109" s="47">
        <f>(C109/C110)-1</f>
        <v>1.6900048285852343E-2</v>
      </c>
    </row>
    <row r="110" spans="1:9">
      <c r="A110" s="43">
        <v>45889</v>
      </c>
      <c r="B110" s="44">
        <v>256.64</v>
      </c>
      <c r="C110" s="44">
        <v>828.4</v>
      </c>
      <c r="E110" s="45">
        <f t="shared" si="2"/>
        <v>6.5892689049261779E-3</v>
      </c>
      <c r="F110" s="45">
        <f t="shared" si="3"/>
        <v>-2.6099224077122084E-2</v>
      </c>
      <c r="H110" s="47">
        <f>(B110/B111)-1</f>
        <v>6.589268904926282E-3</v>
      </c>
      <c r="I110" s="47">
        <f>(C110/C111)-1</f>
        <v>-2.6099224077122063E-2</v>
      </c>
    </row>
    <row r="111" spans="1:9">
      <c r="A111" s="43">
        <v>45890</v>
      </c>
      <c r="B111" s="44">
        <v>254.96</v>
      </c>
      <c r="C111" s="44">
        <v>850.6</v>
      </c>
      <c r="E111" s="45">
        <f t="shared" si="2"/>
        <v>3.187094235687595E-3</v>
      </c>
      <c r="F111" s="45">
        <f t="shared" si="3"/>
        <v>1.6491395793499126E-2</v>
      </c>
      <c r="H111" s="47">
        <f>(B111/B112)-1</f>
        <v>3.1870942356875265E-3</v>
      </c>
      <c r="I111" s="47">
        <f>(C111/C112)-1</f>
        <v>1.649139579349912E-2</v>
      </c>
    </row>
    <row r="112" spans="1:9">
      <c r="A112" s="43">
        <v>45891</v>
      </c>
      <c r="B112" s="44">
        <v>254.15</v>
      </c>
      <c r="C112" s="44">
        <v>836.8</v>
      </c>
      <c r="E112" s="45">
        <f t="shared" si="2"/>
        <v>7.8755660563109694E-4</v>
      </c>
      <c r="F112" s="45">
        <f t="shared" si="3"/>
        <v>7.9498915923872666E-3</v>
      </c>
      <c r="H112" s="47">
        <f>(B112/B113)-1</f>
        <v>7.8755660563101237E-4</v>
      </c>
      <c r="I112" s="47">
        <f>(C112/C113)-1</f>
        <v>7.9498915923872371E-3</v>
      </c>
    </row>
    <row r="113" spans="1:9">
      <c r="A113" s="43">
        <v>45894</v>
      </c>
      <c r="B113" s="44">
        <v>253.95</v>
      </c>
      <c r="C113" s="44">
        <v>830.2</v>
      </c>
      <c r="E113" s="45">
        <f t="shared" si="2"/>
        <v>-4.0004706436051699E-3</v>
      </c>
      <c r="F113" s="45">
        <f t="shared" si="3"/>
        <v>-4.078694817658322E-3</v>
      </c>
      <c r="H113" s="47">
        <f>(B113/B114)-1</f>
        <v>-4.0004706436052029E-3</v>
      </c>
      <c r="I113" s="47">
        <f>(C113/C114)-1</f>
        <v>-4.0786948176583238E-3</v>
      </c>
    </row>
    <row r="114" spans="1:9">
      <c r="A114" s="43">
        <v>45895</v>
      </c>
      <c r="B114" s="44">
        <v>254.97</v>
      </c>
      <c r="C114" s="44">
        <v>833.6</v>
      </c>
      <c r="E114" s="45">
        <f t="shared" si="2"/>
        <v>-5.499648958577099E-3</v>
      </c>
      <c r="F114" s="45">
        <f t="shared" si="3"/>
        <v>-2.4116132053383307E-2</v>
      </c>
      <c r="H114" s="47">
        <f>(B114/B115)-1</f>
        <v>-5.4996489585771302E-3</v>
      </c>
      <c r="I114" s="47">
        <f>(C114/C115)-1</f>
        <v>-2.4116132053383255E-2</v>
      </c>
    </row>
    <row r="115" spans="1:9">
      <c r="A115" s="43">
        <v>45896</v>
      </c>
      <c r="B115" s="44">
        <v>256.38</v>
      </c>
      <c r="C115" s="44">
        <v>854.2</v>
      </c>
      <c r="E115" s="45">
        <f t="shared" si="2"/>
        <v>1.8067744113092098E-2</v>
      </c>
      <c r="F115" s="45">
        <f t="shared" si="3"/>
        <v>-1.869595699929784E-3</v>
      </c>
      <c r="H115" s="47">
        <f>(B115/B116)-1</f>
        <v>1.8067744113092088E-2</v>
      </c>
      <c r="I115" s="47">
        <f>(C115/C116)-1</f>
        <v>-1.869595699929838E-3</v>
      </c>
    </row>
    <row r="116" spans="1:9">
      <c r="A116" s="43">
        <v>45897</v>
      </c>
      <c r="B116" s="44">
        <v>251.83</v>
      </c>
      <c r="C116" s="44">
        <v>855.8</v>
      </c>
      <c r="E116" s="45">
        <f t="shared" si="2"/>
        <v>-8.3481000196888207E-3</v>
      </c>
      <c r="F116" s="45">
        <f t="shared" si="3"/>
        <v>-2.1495540818660036E-2</v>
      </c>
      <c r="H116" s="47">
        <f>(B116/B117)-1</f>
        <v>-8.3481000196887756E-3</v>
      </c>
      <c r="I116" s="47">
        <f>(C116/C117)-1</f>
        <v>-2.1495540818660008E-2</v>
      </c>
    </row>
    <row r="117" spans="1:9">
      <c r="A117" s="43">
        <v>45898</v>
      </c>
      <c r="B117" s="44">
        <v>253.95</v>
      </c>
      <c r="C117" s="44">
        <v>874.6</v>
      </c>
      <c r="E117" s="45">
        <f t="shared" si="2"/>
        <v>-6.4165264681717389E-3</v>
      </c>
      <c r="F117" s="45">
        <f t="shared" si="3"/>
        <v>-1.197469498418439E-2</v>
      </c>
      <c r="H117" s="47">
        <f>(B117/B118)-1</f>
        <v>-6.4165264681717016E-3</v>
      </c>
      <c r="I117" s="47">
        <f>(C117/C118)-1</f>
        <v>-1.1974694984184353E-2</v>
      </c>
    </row>
    <row r="118" spans="1:9">
      <c r="A118" s="43">
        <v>45901</v>
      </c>
      <c r="B118" s="44">
        <v>255.59</v>
      </c>
      <c r="C118" s="44">
        <v>885.2</v>
      </c>
      <c r="E118" s="45">
        <f t="shared" si="2"/>
        <v>4.3096763661592465E-2</v>
      </c>
      <c r="F118" s="45">
        <f t="shared" si="3"/>
        <v>2.16989843028625E-2</v>
      </c>
      <c r="H118" s="47">
        <f>(B118/B119)-1</f>
        <v>4.309676366159243E-2</v>
      </c>
      <c r="I118" s="47">
        <f>(C118/C119)-1</f>
        <v>2.1698984302862545E-2</v>
      </c>
    </row>
    <row r="119" spans="1:9">
      <c r="A119" s="43">
        <v>45902</v>
      </c>
      <c r="B119" s="44">
        <v>245.03</v>
      </c>
      <c r="C119" s="44">
        <v>866.4</v>
      </c>
      <c r="E119" s="45">
        <f t="shared" si="2"/>
        <v>3.20094343596007E-2</v>
      </c>
      <c r="F119" s="45">
        <f t="shared" si="3"/>
        <v>9.2421441774486422E-4</v>
      </c>
      <c r="H119" s="47">
        <f>(B119/B120)-1</f>
        <v>3.2009434359600686E-2</v>
      </c>
      <c r="I119" s="47">
        <f>(C119/C120)-1</f>
        <v>9.242144177448175E-4</v>
      </c>
    </row>
    <row r="120" spans="1:9">
      <c r="A120" s="43">
        <v>45903</v>
      </c>
      <c r="B120" s="44">
        <v>237.43</v>
      </c>
      <c r="C120" s="44">
        <v>865.6</v>
      </c>
      <c r="E120" s="45">
        <f t="shared" si="2"/>
        <v>-4.6533076213632315E-3</v>
      </c>
      <c r="F120" s="45">
        <f t="shared" si="3"/>
        <v>-5.9715204409737394E-3</v>
      </c>
      <c r="H120" s="47">
        <f>(B120/B121)-1</f>
        <v>-4.6533076213631785E-3</v>
      </c>
      <c r="I120" s="47">
        <f>(C120/C121)-1</f>
        <v>-5.9715204409737099E-3</v>
      </c>
    </row>
    <row r="121" spans="1:9">
      <c r="A121" s="43">
        <v>45904</v>
      </c>
      <c r="B121" s="44">
        <v>238.54</v>
      </c>
      <c r="C121" s="44">
        <v>870.8</v>
      </c>
      <c r="E121" s="45">
        <f t="shared" si="2"/>
        <v>3.5338662179217645E-3</v>
      </c>
      <c r="F121" s="45">
        <f t="shared" si="3"/>
        <v>-4.5913682277329076E-4</v>
      </c>
      <c r="H121" s="47">
        <f>(B121/B122)-1</f>
        <v>3.5338662179218439E-3</v>
      </c>
      <c r="I121" s="47">
        <f>(C121/C122)-1</f>
        <v>-4.5913682277332057E-4</v>
      </c>
    </row>
    <row r="122" spans="1:9">
      <c r="A122" s="43">
        <v>45905</v>
      </c>
      <c r="B122" s="44">
        <v>237.7</v>
      </c>
      <c r="C122" s="44">
        <v>871.2</v>
      </c>
      <c r="E122" s="45">
        <f t="shared" si="2"/>
        <v>6.1375661375660893E-3</v>
      </c>
      <c r="F122" s="45">
        <f t="shared" si="3"/>
        <v>5.772338951743246E-3</v>
      </c>
      <c r="H122" s="47">
        <f>(B122/B123)-1</f>
        <v>6.1375661375659973E-3</v>
      </c>
      <c r="I122" s="47">
        <f>(C122/C123)-1</f>
        <v>5.7723389517432278E-3</v>
      </c>
    </row>
    <row r="123" spans="1:9">
      <c r="A123" s="43">
        <v>45908</v>
      </c>
      <c r="B123" s="44">
        <v>236.25</v>
      </c>
      <c r="C123" s="44">
        <v>866.2</v>
      </c>
      <c r="E123" s="45">
        <f t="shared" si="2"/>
        <v>1.1257597808406794E-2</v>
      </c>
      <c r="F123" s="45">
        <f t="shared" si="3"/>
        <v>7.209302325581448E-3</v>
      </c>
      <c r="H123" s="47">
        <f>(B123/B124)-1</f>
        <v>1.125759780840685E-2</v>
      </c>
      <c r="I123" s="47">
        <f>(C123/C124)-1</f>
        <v>7.2093023255814792E-3</v>
      </c>
    </row>
    <row r="124" spans="1:9">
      <c r="A124" s="43">
        <v>45909</v>
      </c>
      <c r="B124" s="44">
        <v>233.62</v>
      </c>
      <c r="C124" s="44">
        <v>860</v>
      </c>
      <c r="E124" s="45">
        <f t="shared" si="2"/>
        <v>1.75530293131234E-2</v>
      </c>
      <c r="F124" s="45">
        <f t="shared" si="3"/>
        <v>1.6305613789890255E-3</v>
      </c>
      <c r="H124" s="47">
        <f>(B124/B125)-1</f>
        <v>1.7553029313123414E-2</v>
      </c>
      <c r="I124" s="47">
        <f>(C124/C125)-1</f>
        <v>1.6305613789890927E-3</v>
      </c>
    </row>
    <row r="125" spans="1:9">
      <c r="A125" s="43">
        <v>45910</v>
      </c>
      <c r="B125" s="44">
        <v>229.59</v>
      </c>
      <c r="C125" s="44">
        <v>858.6</v>
      </c>
      <c r="E125" s="45">
        <f t="shared" si="2"/>
        <v>1.4269305531012501E-2</v>
      </c>
      <c r="F125" s="45">
        <f t="shared" si="3"/>
        <v>-2.3239600278875203E-3</v>
      </c>
      <c r="H125" s="47">
        <f>(B125/B126)-1</f>
        <v>1.4269305531012577E-2</v>
      </c>
      <c r="I125" s="47">
        <f>(C125/C126)-1</f>
        <v>-2.3239600278874839E-3</v>
      </c>
    </row>
    <row r="126" spans="1:9">
      <c r="A126" s="43">
        <v>45911</v>
      </c>
      <c r="B126" s="44">
        <v>226.36</v>
      </c>
      <c r="C126" s="44">
        <v>860.6</v>
      </c>
      <c r="E126" s="45">
        <f t="shared" si="2"/>
        <v>-3.223599828986743E-2</v>
      </c>
      <c r="F126" s="45">
        <f t="shared" si="3"/>
        <v>1.1633317822242904E-3</v>
      </c>
      <c r="H126" s="47">
        <f>(B126/B127)-1</f>
        <v>-3.2235998289867451E-2</v>
      </c>
      <c r="I126" s="47">
        <f>(C126/C127)-1</f>
        <v>1.163331782224386E-3</v>
      </c>
    </row>
    <row r="127" spans="1:9">
      <c r="A127" s="43">
        <v>45912</v>
      </c>
      <c r="B127" s="44">
        <v>233.9</v>
      </c>
      <c r="C127" s="44">
        <v>859.6</v>
      </c>
      <c r="E127" s="45">
        <f t="shared" si="2"/>
        <v>-1.4867539906498762E-2</v>
      </c>
      <c r="F127" s="45">
        <f t="shared" si="3"/>
        <v>2.3272050267633871E-4</v>
      </c>
      <c r="H127" s="47">
        <f>(B127/B128)-1</f>
        <v>-1.4867539906498806E-2</v>
      </c>
      <c r="I127" s="47">
        <f>(C127/C128)-1</f>
        <v>2.3272050267642008E-4</v>
      </c>
    </row>
    <row r="128" spans="1:9">
      <c r="A128" s="43">
        <v>45915</v>
      </c>
      <c r="B128" s="44">
        <v>237.43</v>
      </c>
      <c r="C128" s="44">
        <v>859.4</v>
      </c>
      <c r="E128" s="45">
        <f t="shared" si="2"/>
        <v>-7.5241399490029804E-3</v>
      </c>
      <c r="F128" s="45">
        <f t="shared" si="3"/>
        <v>1.7041420118343167E-2</v>
      </c>
      <c r="H128" s="47">
        <f>(B128/B129)-1</f>
        <v>-7.5241399490030281E-3</v>
      </c>
      <c r="I128" s="47">
        <f>(C128/C129)-1</f>
        <v>1.7041420118343087E-2</v>
      </c>
    </row>
    <row r="129" spans="1:9">
      <c r="A129" s="43">
        <v>45916</v>
      </c>
      <c r="B129" s="44">
        <v>239.23</v>
      </c>
      <c r="C129" s="44">
        <v>845</v>
      </c>
      <c r="E129" s="45">
        <f t="shared" ref="E129:E191" si="4">(B129-B130)/B130</f>
        <v>-3.7606551897043046E-4</v>
      </c>
      <c r="F129" s="45">
        <f t="shared" ref="F129:F191" si="5">(C129-C130)/C130</f>
        <v>4.5173561578696559E-3</v>
      </c>
      <c r="H129" s="47">
        <f>(B129/B130)-1</f>
        <v>-3.7606551897040319E-4</v>
      </c>
      <c r="I129" s="47">
        <f>(C129/C130)-1</f>
        <v>4.5173561578697452E-3</v>
      </c>
    </row>
    <row r="130" spans="1:9">
      <c r="A130" s="43">
        <v>45917</v>
      </c>
      <c r="B130" s="44">
        <v>239.32</v>
      </c>
      <c r="C130" s="44">
        <v>841.2</v>
      </c>
      <c r="E130" s="45">
        <f t="shared" si="4"/>
        <v>5.4617259053860298E-3</v>
      </c>
      <c r="F130" s="45">
        <f t="shared" si="5"/>
        <v>-2.4129930394431502E-2</v>
      </c>
      <c r="H130" s="47">
        <f>(B130/B131)-1</f>
        <v>5.4617259053859613E-3</v>
      </c>
      <c r="I130" s="47">
        <f>(C130/C131)-1</f>
        <v>-2.4129930394431454E-2</v>
      </c>
    </row>
    <row r="131" spans="1:9">
      <c r="A131" s="43">
        <v>45918</v>
      </c>
      <c r="B131" s="44">
        <v>238.02</v>
      </c>
      <c r="C131" s="44">
        <v>862</v>
      </c>
      <c r="E131" s="45">
        <f t="shared" si="4"/>
        <v>3.8119330076762076E-2</v>
      </c>
      <c r="F131" s="45">
        <f t="shared" si="5"/>
        <v>-2.1566401816118047E-2</v>
      </c>
      <c r="H131" s="47">
        <f>(B131/B132)-1</f>
        <v>3.8119330076762159E-2</v>
      </c>
      <c r="I131" s="47">
        <f>(C131/C132)-1</f>
        <v>-2.1566401816118019E-2</v>
      </c>
    </row>
    <row r="132" spans="1:9">
      <c r="A132" s="43">
        <v>45919</v>
      </c>
      <c r="B132" s="44">
        <v>229.28</v>
      </c>
      <c r="C132" s="44">
        <v>881</v>
      </c>
      <c r="E132" s="45">
        <f t="shared" si="4"/>
        <v>-1.044454035390586E-2</v>
      </c>
      <c r="F132" s="45">
        <f t="shared" si="5"/>
        <v>-2.0458083166555455E-2</v>
      </c>
      <c r="H132" s="47">
        <f>(B132/B133)-1</f>
        <v>-1.0444540353905851E-2</v>
      </c>
      <c r="I132" s="47">
        <f>(C132/C133)-1</f>
        <v>-2.0458083166555507E-2</v>
      </c>
    </row>
    <row r="133" spans="1:9">
      <c r="A133" s="43">
        <v>45922</v>
      </c>
      <c r="B133" s="44">
        <v>231.7</v>
      </c>
      <c r="C133" s="44">
        <v>899.4</v>
      </c>
      <c r="E133" s="45">
        <f t="shared" si="4"/>
        <v>-1.8094089264174388E-3</v>
      </c>
      <c r="F133" s="45">
        <f t="shared" si="5"/>
        <v>-8.886914019107622E-4</v>
      </c>
      <c r="H133" s="47">
        <f>(B133/B134)-1</f>
        <v>-1.8094089264174551E-3</v>
      </c>
      <c r="I133" s="47">
        <f>(C133/C134)-1</f>
        <v>-8.8869140191072393E-4</v>
      </c>
    </row>
    <row r="134" spans="1:9">
      <c r="A134" s="43">
        <v>45923</v>
      </c>
      <c r="B134" s="44">
        <v>232.12</v>
      </c>
      <c r="C134" s="44">
        <v>900.2</v>
      </c>
      <c r="E134" s="45">
        <f t="shared" si="4"/>
        <v>8.9980439034992084E-3</v>
      </c>
      <c r="F134" s="45">
        <f t="shared" si="5"/>
        <v>0</v>
      </c>
      <c r="H134" s="47">
        <f>(B134/B135)-1</f>
        <v>8.99804390349912E-3</v>
      </c>
      <c r="I134" s="47">
        <f>(C134/C135)-1</f>
        <v>0</v>
      </c>
    </row>
    <row r="135" spans="1:9">
      <c r="A135" s="43">
        <v>45924</v>
      </c>
      <c r="B135" s="44">
        <v>230.05</v>
      </c>
      <c r="C135" s="44">
        <v>900.2</v>
      </c>
      <c r="E135" s="45">
        <f t="shared" si="4"/>
        <v>5.1557652816009384E-3</v>
      </c>
      <c r="F135" s="45">
        <f t="shared" si="5"/>
        <v>1.4881623449830942E-2</v>
      </c>
      <c r="H135" s="47">
        <f>(B135/B136)-1</f>
        <v>5.1557652816009991E-3</v>
      </c>
      <c r="I135" s="47">
        <f>(C135/C136)-1</f>
        <v>1.4881623449831016E-2</v>
      </c>
    </row>
    <row r="136" spans="1:9">
      <c r="A136" s="43">
        <v>45925</v>
      </c>
      <c r="B136" s="44">
        <v>228.87</v>
      </c>
      <c r="C136" s="44">
        <v>887</v>
      </c>
      <c r="E136" s="45">
        <f t="shared" si="4"/>
        <v>9.4385392316853299E-3</v>
      </c>
      <c r="F136" s="45">
        <f t="shared" si="5"/>
        <v>-2.7412280701754384E-2</v>
      </c>
      <c r="H136" s="47">
        <f>(B136/B137)-1</f>
        <v>9.4385392316853611E-3</v>
      </c>
      <c r="I136" s="47">
        <f>(C136/C137)-1</f>
        <v>-2.7412280701754388E-2</v>
      </c>
    </row>
    <row r="137" spans="1:9">
      <c r="A137" s="43">
        <v>45926</v>
      </c>
      <c r="B137" s="44">
        <v>226.73</v>
      </c>
      <c r="C137" s="44">
        <v>912</v>
      </c>
      <c r="E137" s="45">
        <f t="shared" si="4"/>
        <v>-2.6393348876084227E-3</v>
      </c>
      <c r="F137" s="45">
        <f t="shared" si="5"/>
        <v>2.5410389026309897E-2</v>
      </c>
      <c r="H137" s="47">
        <f>(B137/B138)-1</f>
        <v>-2.6393348876083689E-3</v>
      </c>
      <c r="I137" s="47">
        <f>(C137/C138)-1</f>
        <v>2.5410389026309987E-2</v>
      </c>
    </row>
    <row r="138" spans="1:9">
      <c r="A138" s="43">
        <v>45929</v>
      </c>
      <c r="B138" s="44">
        <v>227.33</v>
      </c>
      <c r="C138" s="44">
        <v>889.4</v>
      </c>
      <c r="E138" s="45">
        <f t="shared" si="4"/>
        <v>1.2741123535439096E-2</v>
      </c>
      <c r="F138" s="45">
        <f t="shared" si="5"/>
        <v>-7.5875920553448647E-3</v>
      </c>
      <c r="H138" s="47">
        <f>(B138/B139)-1</f>
        <v>1.2741123535439103E-2</v>
      </c>
      <c r="I138" s="47">
        <f>(C138/C139)-1</f>
        <v>-7.5875920553448717E-3</v>
      </c>
    </row>
    <row r="139" spans="1:9">
      <c r="A139" s="43">
        <v>45930</v>
      </c>
      <c r="B139" s="44">
        <v>224.47</v>
      </c>
      <c r="C139" s="44">
        <v>896.2</v>
      </c>
      <c r="E139" s="45">
        <f t="shared" si="4"/>
        <v>-4.920648993705176E-3</v>
      </c>
      <c r="F139" s="45">
        <f t="shared" si="5"/>
        <v>2.4228571428571481E-2</v>
      </c>
      <c r="H139" s="47">
        <f>(B139/B140)-1</f>
        <v>-4.9206489937051456E-3</v>
      </c>
      <c r="I139" s="47">
        <f>(C139/C140)-1</f>
        <v>2.4228571428571488E-2</v>
      </c>
    </row>
    <row r="140" spans="1:9">
      <c r="A140" s="43">
        <v>45931</v>
      </c>
      <c r="B140" s="44">
        <v>225.58</v>
      </c>
      <c r="C140" s="44">
        <v>875</v>
      </c>
      <c r="E140" s="45">
        <f t="shared" si="4"/>
        <v>-1.9728837128454683E-2</v>
      </c>
      <c r="F140" s="45">
        <f t="shared" si="5"/>
        <v>3.8452409209589339E-2</v>
      </c>
      <c r="H140" s="47">
        <f>(B140/B141)-1</f>
        <v>-1.9728837128454635E-2</v>
      </c>
      <c r="I140" s="47">
        <f>(C140/C141)-1</f>
        <v>3.8452409209589256E-2</v>
      </c>
    </row>
    <row r="141" spans="1:9">
      <c r="A141" s="43">
        <v>45932</v>
      </c>
      <c r="B141" s="44">
        <v>230.12</v>
      </c>
      <c r="C141" s="44">
        <v>842.6</v>
      </c>
      <c r="E141" s="45">
        <f t="shared" si="4"/>
        <v>-1.4319809069211721E-3</v>
      </c>
      <c r="F141" s="45">
        <f t="shared" si="5"/>
        <v>-2.3679848448969927E-3</v>
      </c>
      <c r="H141" s="47">
        <f>(B141/B142)-1</f>
        <v>-1.4319809069212042E-3</v>
      </c>
      <c r="I141" s="47">
        <f>(C141/C142)-1</f>
        <v>-2.3679848448969754E-3</v>
      </c>
    </row>
    <row r="142" spans="1:9">
      <c r="A142" s="43">
        <v>45933</v>
      </c>
      <c r="B142" s="44">
        <v>230.45</v>
      </c>
      <c r="C142" s="44">
        <v>844.6</v>
      </c>
      <c r="E142" s="45">
        <f t="shared" si="4"/>
        <v>-3.0283365779797404E-3</v>
      </c>
      <c r="F142" s="45">
        <f t="shared" si="5"/>
        <v>-0.18396135265700481</v>
      </c>
      <c r="H142" s="47">
        <f>(B142/B143)-1</f>
        <v>-3.02833657797974E-3</v>
      </c>
      <c r="I142" s="47">
        <f>(C142/C143)-1</f>
        <v>-0.18396135265700486</v>
      </c>
    </row>
    <row r="143" spans="1:9">
      <c r="A143" s="43">
        <v>45936</v>
      </c>
      <c r="B143" s="44">
        <v>231.15</v>
      </c>
      <c r="C143" s="48">
        <v>1035</v>
      </c>
      <c r="E143" s="45">
        <f t="shared" si="4"/>
        <v>-5.1218042523887312E-3</v>
      </c>
      <c r="F143" s="45">
        <f t="shared" si="5"/>
        <v>-1.9286403085824494E-3</v>
      </c>
      <c r="H143" s="47">
        <f>(B143/B144)-1</f>
        <v>-5.1218042523887286E-3</v>
      </c>
      <c r="I143" s="47">
        <f>(C143/C144)-1</f>
        <v>-1.9286403085824189E-3</v>
      </c>
    </row>
    <row r="144" spans="1:9">
      <c r="A144" s="43">
        <v>45937</v>
      </c>
      <c r="B144" s="44">
        <v>232.34</v>
      </c>
      <c r="C144" s="48">
        <v>1037</v>
      </c>
      <c r="E144" s="45">
        <f t="shared" si="4"/>
        <v>-2.3616299540554896E-3</v>
      </c>
      <c r="F144" s="45">
        <f t="shared" si="5"/>
        <v>2.2682445759368838E-2</v>
      </c>
      <c r="H144" s="47">
        <f>(B144/B145)-1</f>
        <v>-2.361629954055533E-3</v>
      </c>
      <c r="I144" s="47">
        <f>(C144/C145)-1</f>
        <v>2.2682445759368841E-2</v>
      </c>
    </row>
    <row r="145" spans="1:9">
      <c r="A145" s="43">
        <v>45938</v>
      </c>
      <c r="B145" s="44">
        <v>232.89</v>
      </c>
      <c r="C145" s="48">
        <v>1014</v>
      </c>
      <c r="E145" s="45">
        <f t="shared" si="4"/>
        <v>1.6055145936041092E-2</v>
      </c>
      <c r="F145" s="45">
        <f t="shared" si="5"/>
        <v>-1.4577259475218658E-2</v>
      </c>
      <c r="H145" s="47">
        <f>(B145/B146)-1</f>
        <v>1.6055145936041182E-2</v>
      </c>
      <c r="I145" s="47">
        <f>(C145/C146)-1</f>
        <v>-1.4577259475218707E-2</v>
      </c>
    </row>
    <row r="146" spans="1:9">
      <c r="A146" s="43">
        <v>45939</v>
      </c>
      <c r="B146" s="44">
        <v>229.21</v>
      </c>
      <c r="C146" s="48">
        <v>1029</v>
      </c>
      <c r="E146" s="45">
        <f ca="1">AVERAGE(E2:E246)</f>
        <v>0</v>
      </c>
      <c r="F146" s="45">
        <f>(C146-C147)/C147</f>
        <v>-8.1927710843373493E-3</v>
      </c>
      <c r="H146" s="47">
        <f ca="1">AVERAGE(H2:H245)</f>
        <v>0</v>
      </c>
      <c r="I146" s="47">
        <f>(C146/C147)-1</f>
        <v>-8.192771084337358E-3</v>
      </c>
    </row>
    <row r="147" spans="1:9">
      <c r="A147" s="43">
        <v>45943</v>
      </c>
      <c r="B147" s="44">
        <v>226.75</v>
      </c>
      <c r="C147" s="48">
        <v>1037.5</v>
      </c>
      <c r="E147" s="45">
        <f t="shared" si="4"/>
        <v>-8.3096435600262652E-3</v>
      </c>
      <c r="F147" s="45">
        <f t="shared" si="5"/>
        <v>9.6478533526290404E-4</v>
      </c>
      <c r="H147" s="47">
        <f>(B147/B148)-1</f>
        <v>-8.3096435600262808E-3</v>
      </c>
      <c r="I147" s="47">
        <f>(C147/C148)-1</f>
        <v>9.6478533526300758E-4</v>
      </c>
    </row>
    <row r="148" spans="1:9">
      <c r="A148" s="43">
        <v>45944</v>
      </c>
      <c r="B148" s="44">
        <v>228.65</v>
      </c>
      <c r="C148" s="48">
        <v>1036.5</v>
      </c>
      <c r="E148" s="45">
        <f t="shared" si="4"/>
        <v>4.2350474106491572E-2</v>
      </c>
      <c r="F148" s="45">
        <f t="shared" si="5"/>
        <v>-3.401677539608574E-2</v>
      </c>
      <c r="H148" s="47">
        <f>(B148/B149)-1</f>
        <v>4.2350474106491509E-2</v>
      </c>
      <c r="I148" s="47">
        <f>(C148/C149)-1</f>
        <v>-3.4016775396085719E-2</v>
      </c>
    </row>
    <row r="149" spans="1:9">
      <c r="A149" s="43">
        <v>45945</v>
      </c>
      <c r="B149" s="44">
        <v>219.36</v>
      </c>
      <c r="C149" s="48">
        <v>1073</v>
      </c>
      <c r="E149" s="45">
        <f t="shared" si="4"/>
        <v>3.1796801505174124E-2</v>
      </c>
      <c r="F149" s="45">
        <f t="shared" si="5"/>
        <v>-1.0603964960811434E-2</v>
      </c>
      <c r="H149" s="47">
        <f>(B149/B150)-1</f>
        <v>3.1796801505174166E-2</v>
      </c>
      <c r="I149" s="47">
        <f>(C149/C150)-1</f>
        <v>-1.0603964960811396E-2</v>
      </c>
    </row>
    <row r="150" spans="1:9">
      <c r="A150" s="43">
        <v>45946</v>
      </c>
      <c r="B150" s="44">
        <v>212.6</v>
      </c>
      <c r="C150" s="48">
        <v>1084.5</v>
      </c>
      <c r="E150" s="45">
        <f t="shared" si="4"/>
        <v>5.0914483440434907E-2</v>
      </c>
      <c r="F150" s="45">
        <f t="shared" si="5"/>
        <v>9.3066542577943234E-3</v>
      </c>
      <c r="H150" s="47">
        <f>(B150/B151)-1</f>
        <v>5.0914483440434921E-2</v>
      </c>
      <c r="I150" s="47">
        <f>(C150/C151)-1</f>
        <v>9.3066542577944222E-3</v>
      </c>
    </row>
    <row r="151" spans="1:9">
      <c r="A151" s="43">
        <v>45947</v>
      </c>
      <c r="B151" s="44">
        <v>202.3</v>
      </c>
      <c r="C151" s="48">
        <v>1074.5</v>
      </c>
      <c r="E151" s="45">
        <f t="shared" si="4"/>
        <v>-2.1210476989097738E-3</v>
      </c>
      <c r="F151" s="45">
        <f t="shared" si="5"/>
        <v>-1.0133578995854445E-2</v>
      </c>
      <c r="H151" s="47">
        <f>(B151/B152)-1</f>
        <v>-2.1210476989097504E-3</v>
      </c>
      <c r="I151" s="47">
        <f>(C151/C152)-1</f>
        <v>-1.0133578995854431E-2</v>
      </c>
    </row>
    <row r="152" spans="1:9">
      <c r="A152" s="43">
        <v>45950</v>
      </c>
      <c r="B152" s="44">
        <v>202.73</v>
      </c>
      <c r="C152" s="48">
        <v>1085.5</v>
      </c>
      <c r="E152" s="45">
        <f t="shared" si="4"/>
        <v>4.7578926500469821E-3</v>
      </c>
      <c r="F152" s="45">
        <f t="shared" si="5"/>
        <v>9.7674418604651158E-3</v>
      </c>
      <c r="H152" s="47">
        <f>(B152/B153)-1</f>
        <v>4.757892650046891E-3</v>
      </c>
      <c r="I152" s="47">
        <f>(C152/C153)-1</f>
        <v>9.7674418604651869E-3</v>
      </c>
    </row>
    <row r="153" spans="1:9">
      <c r="A153" s="43">
        <v>45951</v>
      </c>
      <c r="B153" s="44">
        <v>201.77</v>
      </c>
      <c r="C153" s="48">
        <v>1075</v>
      </c>
      <c r="E153" s="45">
        <f t="shared" si="4"/>
        <v>-2.4983086885087404E-2</v>
      </c>
      <c r="F153" s="45">
        <f t="shared" si="5"/>
        <v>5.6127221702525721E-3</v>
      </c>
      <c r="H153" s="47">
        <f>(B153/B154)-1</f>
        <v>-2.4983086885087435E-2</v>
      </c>
      <c r="I153" s="47">
        <f>(C153/C154)-1</f>
        <v>5.6127221702526597E-3</v>
      </c>
    </row>
    <row r="154" spans="1:9">
      <c r="A154" s="43">
        <v>45952</v>
      </c>
      <c r="B154" s="44">
        <v>206.94</v>
      </c>
      <c r="C154" s="48">
        <v>1069</v>
      </c>
      <c r="E154" s="45">
        <f t="shared" si="4"/>
        <v>-7.1010459648785619E-3</v>
      </c>
      <c r="F154" s="45">
        <f t="shared" si="5"/>
        <v>-6.9670227589410123E-3</v>
      </c>
      <c r="H154" s="47">
        <f>(B154/B155)-1</f>
        <v>-7.101045964878594E-3</v>
      </c>
      <c r="I154" s="47">
        <f>(C154/C155)-1</f>
        <v>-6.9670227589410105E-3</v>
      </c>
    </row>
    <row r="155" spans="1:9">
      <c r="A155" s="43">
        <v>45953</v>
      </c>
      <c r="B155" s="44">
        <v>208.42</v>
      </c>
      <c r="C155" s="48">
        <v>1076.5</v>
      </c>
      <c r="E155" s="45">
        <f t="shared" si="4"/>
        <v>-1.049233252623087E-2</v>
      </c>
      <c r="F155" s="45">
        <f t="shared" si="5"/>
        <v>1.8448438978240302E-2</v>
      </c>
      <c r="H155" s="47">
        <f>(B155/B156)-1</f>
        <v>-1.049233252623083E-2</v>
      </c>
      <c r="I155" s="47">
        <f>(C155/C156)-1</f>
        <v>1.8448438978240222E-2</v>
      </c>
    </row>
    <row r="156" spans="1:9">
      <c r="A156" s="43">
        <v>45954</v>
      </c>
      <c r="B156" s="44">
        <v>210.63</v>
      </c>
      <c r="C156" s="48">
        <v>1057</v>
      </c>
      <c r="E156" s="45">
        <f t="shared" si="4"/>
        <v>-1.298031865042179E-2</v>
      </c>
      <c r="F156" s="45">
        <f t="shared" si="5"/>
        <v>-7.0455612963832787E-3</v>
      </c>
      <c r="H156" s="47">
        <f>(B156/B157)-1</f>
        <v>-1.2980318650421818E-2</v>
      </c>
      <c r="I156" s="47">
        <f>(C156/C157)-1</f>
        <v>-7.0455612963832293E-3</v>
      </c>
    </row>
    <row r="157" spans="1:9">
      <c r="A157" s="43">
        <v>45957</v>
      </c>
      <c r="B157" s="44">
        <v>213.4</v>
      </c>
      <c r="C157" s="48">
        <v>1064.5</v>
      </c>
      <c r="E157" s="45">
        <f t="shared" si="4"/>
        <v>7.9726117338093099E-4</v>
      </c>
      <c r="F157" s="45">
        <f t="shared" si="5"/>
        <v>1.380952380952381E-2</v>
      </c>
      <c r="H157" s="47">
        <f>(B157/B158)-1</f>
        <v>7.9726117338085878E-4</v>
      </c>
      <c r="I157" s="47">
        <f>(C157/C158)-1</f>
        <v>1.3809523809523716E-2</v>
      </c>
    </row>
    <row r="158" spans="1:9">
      <c r="A158" s="43">
        <v>45958</v>
      </c>
      <c r="B158" s="44">
        <v>213.23</v>
      </c>
      <c r="C158" s="48">
        <v>1050</v>
      </c>
      <c r="E158" s="45">
        <f t="shared" si="4"/>
        <v>5.6308948430376855E-4</v>
      </c>
      <c r="F158" s="45">
        <f t="shared" si="5"/>
        <v>1.0587102983638113E-2</v>
      </c>
      <c r="H158" s="47">
        <f>(B158/B159)-1</f>
        <v>5.6308948430383587E-4</v>
      </c>
      <c r="I158" s="47">
        <f>(C158/C159)-1</f>
        <v>1.0587102983638186E-2</v>
      </c>
    </row>
    <row r="159" spans="1:9">
      <c r="A159" s="43">
        <v>45959</v>
      </c>
      <c r="B159" s="44">
        <v>213.11</v>
      </c>
      <c r="C159" s="48">
        <v>1039</v>
      </c>
      <c r="E159" s="45">
        <f t="shared" si="4"/>
        <v>-1.8266978922715988E-3</v>
      </c>
      <c r="F159" s="45">
        <f t="shared" si="5"/>
        <v>1.9286403085824494E-3</v>
      </c>
      <c r="H159" s="47">
        <f>(B159/B160)-1</f>
        <v>-1.8266978922716337E-3</v>
      </c>
      <c r="I159" s="47">
        <f>(C159/C160)-1</f>
        <v>1.9286403085825299E-3</v>
      </c>
    </row>
    <row r="160" spans="1:9">
      <c r="A160" s="43">
        <v>45960</v>
      </c>
      <c r="B160" s="44">
        <v>213.5</v>
      </c>
      <c r="C160" s="48">
        <v>1037</v>
      </c>
      <c r="E160" s="45">
        <f t="shared" si="4"/>
        <v>-1.1695906432748538E-3</v>
      </c>
      <c r="F160" s="45">
        <f t="shared" si="5"/>
        <v>-1.1910433539780848E-2</v>
      </c>
      <c r="H160" s="47">
        <f>(B160/B161)-1</f>
        <v>-1.1695906432748204E-3</v>
      </c>
      <c r="I160" s="47">
        <f>(C160/C161)-1</f>
        <v>-1.1910433539780829E-2</v>
      </c>
    </row>
    <row r="161" spans="1:9">
      <c r="A161" s="43">
        <v>45961</v>
      </c>
      <c r="B161" s="44">
        <v>213.75</v>
      </c>
      <c r="C161" s="48">
        <v>1049.5</v>
      </c>
      <c r="E161" s="45">
        <f t="shared" si="4"/>
        <v>9.016238670694848E-3</v>
      </c>
      <c r="F161" s="45">
        <f t="shared" si="5"/>
        <v>3.3460803059273425E-3</v>
      </c>
      <c r="H161" s="47">
        <f>(B161/B162)-1</f>
        <v>9.0162386706948983E-3</v>
      </c>
      <c r="I161" s="47">
        <f>(C161/C162)-1</f>
        <v>3.3460803059273125E-3</v>
      </c>
    </row>
    <row r="162" spans="1:9">
      <c r="A162" s="43">
        <v>45964</v>
      </c>
      <c r="B162" s="44">
        <v>211.84</v>
      </c>
      <c r="C162" s="48">
        <v>1046</v>
      </c>
      <c r="E162" s="45">
        <f t="shared" si="4"/>
        <v>6.1745986510877331E-3</v>
      </c>
      <c r="F162" s="45">
        <f t="shared" si="5"/>
        <v>8.6788813886210219E-3</v>
      </c>
      <c r="H162" s="47">
        <f>(B162/B163)-1</f>
        <v>6.1745986510877149E-3</v>
      </c>
      <c r="I162" s="47">
        <f>(C162/C163)-1</f>
        <v>8.6788813886209404E-3</v>
      </c>
    </row>
    <row r="163" spans="1:9">
      <c r="A163" s="43">
        <v>45965</v>
      </c>
      <c r="B163" s="44">
        <v>210.54</v>
      </c>
      <c r="C163" s="48">
        <v>1037</v>
      </c>
      <c r="E163" s="45">
        <f t="shared" si="4"/>
        <v>5.5401662049861331E-3</v>
      </c>
      <c r="F163" s="45">
        <f t="shared" si="5"/>
        <v>1.6666666666666666E-2</v>
      </c>
      <c r="H163" s="47">
        <f>(B163/B164)-1</f>
        <v>5.5401662049860967E-3</v>
      </c>
      <c r="I163" s="47">
        <f>(C163/C164)-1</f>
        <v>1.6666666666666607E-2</v>
      </c>
    </row>
    <row r="164" spans="1:9">
      <c r="A164" s="43">
        <v>45966</v>
      </c>
      <c r="B164" s="44">
        <v>209.38</v>
      </c>
      <c r="C164" s="48">
        <v>1020</v>
      </c>
      <c r="E164" s="45">
        <f t="shared" si="4"/>
        <v>-6.6819396716310988E-4</v>
      </c>
      <c r="F164" s="45">
        <f t="shared" si="5"/>
        <v>-1.8286814244465831E-2</v>
      </c>
      <c r="H164" s="47">
        <f>(B164/B165)-1</f>
        <v>-6.6819396716311097E-4</v>
      </c>
      <c r="I164" s="47">
        <f>(C164/C165)-1</f>
        <v>-1.8286814244465877E-2</v>
      </c>
    </row>
    <row r="165" spans="1:9">
      <c r="A165" s="43">
        <v>45967</v>
      </c>
      <c r="B165" s="44">
        <v>209.52</v>
      </c>
      <c r="C165" s="48">
        <v>1039</v>
      </c>
      <c r="E165" s="45">
        <f t="shared" si="4"/>
        <v>4.9884881043746184E-3</v>
      </c>
      <c r="F165" s="45">
        <f t="shared" si="5"/>
        <v>-1.4231499051233396E-2</v>
      </c>
      <c r="H165" s="47">
        <f>(B165/B166)-1</f>
        <v>4.9884881043746887E-3</v>
      </c>
      <c r="I165" s="47">
        <f>(C165/C166)-1</f>
        <v>-1.4231499051233443E-2</v>
      </c>
    </row>
    <row r="166" spans="1:9">
      <c r="A166" s="43">
        <v>45968</v>
      </c>
      <c r="B166" s="44">
        <v>208.48</v>
      </c>
      <c r="C166" s="48">
        <v>1054</v>
      </c>
      <c r="E166" s="45">
        <f t="shared" si="4"/>
        <v>2.355882494350597E-3</v>
      </c>
      <c r="F166" s="45">
        <f t="shared" si="5"/>
        <v>-1.4492753623188406E-2</v>
      </c>
      <c r="H166" s="47">
        <f>(B166/B167)-1</f>
        <v>2.3558824943505918E-3</v>
      </c>
      <c r="I166" s="47">
        <f>(C166/C167)-1</f>
        <v>-1.4492753623188359E-2</v>
      </c>
    </row>
    <row r="167" spans="1:9">
      <c r="A167" s="43">
        <v>45971</v>
      </c>
      <c r="B167" s="44">
        <v>207.99</v>
      </c>
      <c r="C167" s="48">
        <v>1069.5</v>
      </c>
      <c r="E167" s="45">
        <f t="shared" si="4"/>
        <v>-1.2017860535816079E-2</v>
      </c>
      <c r="F167" s="45">
        <f t="shared" si="5"/>
        <v>-6.5025545750116119E-3</v>
      </c>
      <c r="H167" s="47">
        <f>(B167/B168)-1</f>
        <v>-1.2017860535816105E-2</v>
      </c>
      <c r="I167" s="47">
        <f>(C167/C168)-1</f>
        <v>-6.5025545750115876E-3</v>
      </c>
    </row>
    <row r="168" spans="1:9">
      <c r="A168" s="43">
        <v>45972</v>
      </c>
      <c r="B168" s="44">
        <v>210.52</v>
      </c>
      <c r="C168" s="48">
        <v>1076.5</v>
      </c>
      <c r="E168" s="45">
        <f t="shared" si="4"/>
        <v>-5.9026302120224767E-3</v>
      </c>
      <c r="F168" s="45">
        <f t="shared" si="5"/>
        <v>9.8499061913696062E-3</v>
      </c>
      <c r="H168" s="47">
        <f>(B168/B169)-1</f>
        <v>-5.9026302120225305E-3</v>
      </c>
      <c r="I168" s="47">
        <f>(C168/C169)-1</f>
        <v>9.8499061913694952E-3</v>
      </c>
    </row>
    <row r="169" spans="1:9">
      <c r="A169" s="43">
        <v>45973</v>
      </c>
      <c r="B169" s="44">
        <v>211.77</v>
      </c>
      <c r="C169" s="48">
        <v>1066</v>
      </c>
      <c r="E169" s="45">
        <f t="shared" si="4"/>
        <v>6.0332541567696451E-3</v>
      </c>
      <c r="F169" s="45">
        <f t="shared" si="5"/>
        <v>1.4091122592766556E-3</v>
      </c>
      <c r="H169" s="47">
        <f>(B169/B170)-1</f>
        <v>6.0332541567695852E-3</v>
      </c>
      <c r="I169" s="47">
        <f>(C169/C170)-1</f>
        <v>1.4091122592767569E-3</v>
      </c>
    </row>
    <row r="170" spans="1:9">
      <c r="A170" s="43">
        <v>45974</v>
      </c>
      <c r="B170" s="44">
        <v>210.5</v>
      </c>
      <c r="C170" s="48">
        <v>1064.5</v>
      </c>
      <c r="E170" s="45">
        <f t="shared" si="4"/>
        <v>5.3971438123895281E-3</v>
      </c>
      <c r="F170" s="45">
        <f t="shared" si="5"/>
        <v>-1.9345923537540305E-2</v>
      </c>
      <c r="H170" s="47">
        <f>(B170/B171)-1</f>
        <v>5.3971438123894266E-3</v>
      </c>
      <c r="I170" s="47">
        <f>(C170/C171)-1</f>
        <v>-1.9345923537540277E-2</v>
      </c>
    </row>
    <row r="171" spans="1:9">
      <c r="A171" s="43">
        <v>45975</v>
      </c>
      <c r="B171" s="44">
        <v>209.37</v>
      </c>
      <c r="C171" s="48">
        <v>1085.5</v>
      </c>
      <c r="E171" s="45">
        <f t="shared" si="4"/>
        <v>2.8665615594095968E-4</v>
      </c>
      <c r="F171" s="45">
        <f t="shared" si="5"/>
        <v>-1.6757246376811596E-2</v>
      </c>
      <c r="H171" s="47">
        <f>(B171/B172)-1</f>
        <v>2.8665615594092309E-4</v>
      </c>
      <c r="I171" s="47">
        <f>(C171/C172)-1</f>
        <v>-1.6757246376811641E-2</v>
      </c>
    </row>
    <row r="172" spans="1:9">
      <c r="A172" s="43">
        <v>45978</v>
      </c>
      <c r="B172" s="44">
        <v>209.31</v>
      </c>
      <c r="C172" s="48">
        <v>1104</v>
      </c>
      <c r="E172" s="45">
        <f t="shared" si="4"/>
        <v>-1.6862376702677328E-2</v>
      </c>
      <c r="F172" s="45">
        <f t="shared" si="5"/>
        <v>-2.2593764121102574E-3</v>
      </c>
      <c r="H172" s="47">
        <f>(B172/B173)-1</f>
        <v>-1.6862376702677317E-2</v>
      </c>
      <c r="I172" s="47">
        <f>(C172/C173)-1</f>
        <v>-2.25937641211027E-3</v>
      </c>
    </row>
    <row r="173" spans="1:9">
      <c r="A173" s="43">
        <v>45979</v>
      </c>
      <c r="B173" s="44">
        <v>212.9</v>
      </c>
      <c r="C173" s="48">
        <v>1106.5</v>
      </c>
      <c r="E173" s="45">
        <f t="shared" si="4"/>
        <v>5.193578847969756E-3</v>
      </c>
      <c r="F173" s="45">
        <f t="shared" si="5"/>
        <v>-1.3537906137184115E-3</v>
      </c>
      <c r="H173" s="47">
        <f>(B173/B174)-1</f>
        <v>5.193578847969782E-3</v>
      </c>
      <c r="I173" s="47">
        <f>(C173/C174)-1</f>
        <v>-1.3537906137184308E-3</v>
      </c>
    </row>
    <row r="174" spans="1:9">
      <c r="A174" s="43">
        <v>45980</v>
      </c>
      <c r="B174" s="44">
        <v>211.8</v>
      </c>
      <c r="C174" s="48">
        <v>1108</v>
      </c>
      <c r="E174" s="45">
        <f t="shared" si="4"/>
        <v>2.2250108595974774E-2</v>
      </c>
      <c r="F174" s="45">
        <f t="shared" si="5"/>
        <v>-3.5971223021582736E-3</v>
      </c>
      <c r="H174" s="47">
        <f>(B174/B175)-1</f>
        <v>2.225010859597476E-2</v>
      </c>
      <c r="I174" s="47">
        <f>(C174/C175)-1</f>
        <v>-3.597122302158251E-3</v>
      </c>
    </row>
    <row r="175" spans="1:9">
      <c r="A175" s="43">
        <v>45981</v>
      </c>
      <c r="B175" s="44">
        <v>207.19</v>
      </c>
      <c r="C175" s="48">
        <v>1112</v>
      </c>
      <c r="E175" s="45">
        <f t="shared" si="4"/>
        <v>1.2906379858225306E-2</v>
      </c>
      <c r="F175" s="45">
        <f t="shared" si="5"/>
        <v>9.0009000900090005E-4</v>
      </c>
      <c r="H175" s="47">
        <f>(B175/B176)-1</f>
        <v>1.2906379858225403E-2</v>
      </c>
      <c r="I175" s="47">
        <f>(C175/C176)-1</f>
        <v>9.0009000900082015E-4</v>
      </c>
    </row>
    <row r="176" spans="1:9">
      <c r="A176" s="43">
        <v>45982</v>
      </c>
      <c r="B176" s="44">
        <v>204.55</v>
      </c>
      <c r="C176" s="48">
        <v>1111</v>
      </c>
      <c r="E176" s="45">
        <f t="shared" si="4"/>
        <v>2.0352172394872112E-2</v>
      </c>
      <c r="F176" s="45">
        <f t="shared" si="5"/>
        <v>2.6327944572748268E-2</v>
      </c>
      <c r="H176" s="47">
        <f>(B176/B177)-1</f>
        <v>2.0352172394872081E-2</v>
      </c>
      <c r="I176" s="47">
        <f>(C176/C177)-1</f>
        <v>2.632794457274823E-2</v>
      </c>
    </row>
    <row r="177" spans="1:9">
      <c r="A177" s="43">
        <v>45985</v>
      </c>
      <c r="B177" s="44">
        <v>200.47</v>
      </c>
      <c r="C177" s="48">
        <v>1082.5</v>
      </c>
      <c r="E177" s="45">
        <f t="shared" si="4"/>
        <v>3.9922151803988476E-4</v>
      </c>
      <c r="F177" s="45">
        <f t="shared" si="5"/>
        <v>-1.8585675430643701E-2</v>
      </c>
      <c r="H177" s="47">
        <f>(B177/B178)-1</f>
        <v>3.9922151803994943E-4</v>
      </c>
      <c r="I177" s="47">
        <f>(C177/C178)-1</f>
        <v>-1.8585675430643711E-2</v>
      </c>
    </row>
    <row r="178" spans="1:9">
      <c r="A178" s="43">
        <v>45986</v>
      </c>
      <c r="B178" s="44">
        <v>200.39</v>
      </c>
      <c r="C178" s="48">
        <v>1103</v>
      </c>
      <c r="E178" s="45">
        <f t="shared" si="4"/>
        <v>-2.7867628763374088E-3</v>
      </c>
      <c r="F178" s="45">
        <f t="shared" si="5"/>
        <v>-2.8193832599118944E-2</v>
      </c>
      <c r="H178" s="47">
        <f>(B178/B179)-1</f>
        <v>-2.7867628763373897E-3</v>
      </c>
      <c r="I178" s="47">
        <f>(C178/C179)-1</f>
        <v>-2.8193832599118895E-2</v>
      </c>
    </row>
    <row r="179" spans="1:9">
      <c r="A179" s="43">
        <v>45987</v>
      </c>
      <c r="B179" s="44">
        <v>200.95</v>
      </c>
      <c r="C179" s="48">
        <v>1135</v>
      </c>
      <c r="E179" s="45">
        <f t="shared" si="4"/>
        <v>6.3097801592467868E-3</v>
      </c>
      <c r="F179" s="45">
        <f t="shared" si="5"/>
        <v>2.668475802804161E-2</v>
      </c>
      <c r="H179" s="47">
        <f>(B179/B180)-1</f>
        <v>6.3097801592468805E-3</v>
      </c>
      <c r="I179" s="47">
        <f>(C179/C180)-1</f>
        <v>2.66847580280416E-2</v>
      </c>
    </row>
    <row r="180" spans="1:9">
      <c r="A180" s="43">
        <v>45988</v>
      </c>
      <c r="B180" s="44">
        <v>199.69</v>
      </c>
      <c r="C180" s="48">
        <v>1105.5</v>
      </c>
      <c r="E180" s="45">
        <f t="shared" si="4"/>
        <v>-5.9734182886156039E-3</v>
      </c>
      <c r="F180" s="45">
        <f t="shared" si="5"/>
        <v>-5.3104925053533189E-2</v>
      </c>
      <c r="H180" s="47">
        <f>(B180/B181)-1</f>
        <v>-5.9734182886156395E-3</v>
      </c>
      <c r="I180" s="47">
        <f>(C180/C181)-1</f>
        <v>-5.3104925053533147E-2</v>
      </c>
    </row>
    <row r="181" spans="1:9">
      <c r="A181" s="43">
        <v>45989</v>
      </c>
      <c r="B181" s="44">
        <v>200.89</v>
      </c>
      <c r="C181" s="48">
        <v>1167.5</v>
      </c>
      <c r="E181" s="45">
        <f t="shared" si="4"/>
        <v>2.4951344877488899E-3</v>
      </c>
      <c r="F181" s="45">
        <f t="shared" si="5"/>
        <v>1.3454861111111112E-2</v>
      </c>
      <c r="H181" s="47">
        <f>(B181/B182)-1</f>
        <v>2.4951344877488513E-3</v>
      </c>
      <c r="I181" s="47">
        <f>(C181/C182)-1</f>
        <v>1.345486111111116E-2</v>
      </c>
    </row>
    <row r="182" spans="1:9">
      <c r="A182" s="43">
        <v>45992</v>
      </c>
      <c r="B182" s="44">
        <v>200.39</v>
      </c>
      <c r="C182" s="48">
        <v>1152</v>
      </c>
      <c r="E182" s="45">
        <f t="shared" si="4"/>
        <v>2.2502296152668622E-2</v>
      </c>
      <c r="F182" s="45">
        <f t="shared" si="5"/>
        <v>-1.8739352640545145E-2</v>
      </c>
      <c r="H182" s="47">
        <f>(B182/B183)-1</f>
        <v>2.2502296152668633E-2</v>
      </c>
      <c r="I182" s="47">
        <f>(C182/C183)-1</f>
        <v>-1.8739352640545159E-2</v>
      </c>
    </row>
    <row r="183" spans="1:9">
      <c r="A183" s="43">
        <v>45993</v>
      </c>
      <c r="B183" s="44">
        <v>195.98</v>
      </c>
      <c r="C183" s="48">
        <v>1174</v>
      </c>
      <c r="E183" s="45">
        <f t="shared" si="4"/>
        <v>4.7680082030247548E-3</v>
      </c>
      <c r="F183" s="45">
        <f t="shared" si="5"/>
        <v>1.2793176972281451E-3</v>
      </c>
      <c r="H183" s="47">
        <f>(B183/B184)-1</f>
        <v>4.7680082030248094E-3</v>
      </c>
      <c r="I183" s="47">
        <f>(C183/C184)-1</f>
        <v>1.2793176972281106E-3</v>
      </c>
    </row>
    <row r="184" spans="1:9">
      <c r="A184" s="43">
        <v>45994</v>
      </c>
      <c r="B184" s="44">
        <v>195.05</v>
      </c>
      <c r="C184" s="48">
        <v>1172.5</v>
      </c>
      <c r="E184" s="45">
        <f t="shared" si="4"/>
        <v>-1.4002628652310089E-2</v>
      </c>
      <c r="F184" s="45">
        <f t="shared" si="5"/>
        <v>-2.2509378907878283E-2</v>
      </c>
      <c r="H184" s="47">
        <f>(B184/B185)-1</f>
        <v>-1.4002628652310056E-2</v>
      </c>
      <c r="I184" s="47">
        <f>(C184/C185)-1</f>
        <v>-2.2509378907878297E-2</v>
      </c>
    </row>
    <row r="185" spans="1:9">
      <c r="A185" s="43">
        <v>45995</v>
      </c>
      <c r="B185" s="44">
        <v>197.82</v>
      </c>
      <c r="C185" s="48">
        <v>1199.5</v>
      </c>
      <c r="E185" s="45">
        <f t="shared" si="4"/>
        <v>1.0058718406944084E-2</v>
      </c>
      <c r="F185" s="45">
        <f t="shared" si="5"/>
        <v>4.3951261966927765E-2</v>
      </c>
      <c r="H185" s="47">
        <f>(B185/B186)-1</f>
        <v>1.0058718406944056E-2</v>
      </c>
      <c r="I185" s="47">
        <f>(C185/C186)-1</f>
        <v>4.3951261966927779E-2</v>
      </c>
    </row>
    <row r="186" spans="1:9">
      <c r="A186" s="43">
        <v>45996</v>
      </c>
      <c r="B186" s="44">
        <v>195.85</v>
      </c>
      <c r="C186" s="48">
        <v>1149</v>
      </c>
      <c r="E186" s="45">
        <f t="shared" si="4"/>
        <v>-1.3846928499496475E-2</v>
      </c>
      <c r="F186" s="45">
        <f t="shared" si="5"/>
        <v>-2.4617996604414261E-2</v>
      </c>
      <c r="H186" s="47">
        <f>(B186/B187)-1</f>
        <v>-1.3846928499496425E-2</v>
      </c>
      <c r="I186" s="47">
        <f>(C186/C187)-1</f>
        <v>-2.4617996604414216E-2</v>
      </c>
    </row>
    <row r="187" spans="1:9">
      <c r="A187" s="43">
        <v>45999</v>
      </c>
      <c r="B187" s="44">
        <v>198.6</v>
      </c>
      <c r="C187" s="48">
        <v>1178</v>
      </c>
      <c r="E187" s="45">
        <f t="shared" si="4"/>
        <v>2.1192854980320291E-3</v>
      </c>
      <c r="F187" s="45">
        <f t="shared" si="5"/>
        <v>-1.340033500837521E-2</v>
      </c>
      <c r="H187" s="47">
        <f>(B187/B188)-1</f>
        <v>2.1192854980320863E-3</v>
      </c>
      <c r="I187" s="47">
        <f>(C187/C188)-1</f>
        <v>-1.340033500837523E-2</v>
      </c>
    </row>
    <row r="188" spans="1:9">
      <c r="A188" s="43">
        <v>46000</v>
      </c>
      <c r="B188" s="44">
        <v>198.18</v>
      </c>
      <c r="C188" s="48">
        <v>1194</v>
      </c>
      <c r="E188" s="45">
        <f t="shared" si="4"/>
        <v>-1.9202217163218824E-2</v>
      </c>
      <c r="F188" s="45">
        <f t="shared" si="5"/>
        <v>8.8719898605830166E-3</v>
      </c>
      <c r="H188" s="47">
        <f>(B188/B189)-1</f>
        <v>-1.9202217163218793E-2</v>
      </c>
      <c r="I188" s="47">
        <f>(C188/C189)-1</f>
        <v>8.8719898605829073E-3</v>
      </c>
    </row>
    <row r="189" spans="1:9">
      <c r="A189" s="43">
        <v>46001</v>
      </c>
      <c r="B189" s="44">
        <v>202.06</v>
      </c>
      <c r="C189" s="48">
        <v>1183.5</v>
      </c>
      <c r="E189" s="45">
        <f t="shared" si="4"/>
        <v>6.0744871539533899E-3</v>
      </c>
      <c r="F189" s="45">
        <f t="shared" si="5"/>
        <v>-2.1079258010118043E-3</v>
      </c>
      <c r="H189" s="47">
        <f>(B189/B190)-1</f>
        <v>6.0744871539533118E-3</v>
      </c>
      <c r="I189" s="47">
        <f>(C189/C190)-1</f>
        <v>-2.1079258010118229E-3</v>
      </c>
    </row>
    <row r="190" spans="1:9">
      <c r="A190" s="43">
        <v>46002</v>
      </c>
      <c r="B190" s="44">
        <v>200.84</v>
      </c>
      <c r="C190" s="48">
        <v>1186</v>
      </c>
      <c r="E190" s="45">
        <f t="shared" si="4"/>
        <v>-1.2100344318740816E-2</v>
      </c>
      <c r="F190" s="45">
        <f t="shared" si="5"/>
        <v>-2.7470274702747027E-2</v>
      </c>
      <c r="H190" s="47">
        <f>(B190/B191)-1</f>
        <v>-1.2100344318740852E-2</v>
      </c>
      <c r="I190" s="47">
        <f>(C190/C191)-1</f>
        <v>-2.7470274702746988E-2</v>
      </c>
    </row>
    <row r="191" spans="1:9">
      <c r="A191" s="43">
        <v>46003</v>
      </c>
      <c r="B191" s="44">
        <v>203.3</v>
      </c>
      <c r="C191" s="48">
        <v>1219.5</v>
      </c>
      <c r="E191" s="45">
        <f t="shared" si="4"/>
        <v>1.6398360163983605E-2</v>
      </c>
      <c r="F191" s="45">
        <f t="shared" si="5"/>
        <v>1.6673614005835766E-2</v>
      </c>
      <c r="H191" s="47">
        <f>(B191/B192)-1</f>
        <v>1.6398360163983661E-2</v>
      </c>
      <c r="I191" s="47">
        <f>(C191/C192)-1</f>
        <v>1.6673614005835669E-2</v>
      </c>
    </row>
    <row r="192" spans="1:9">
      <c r="A192" s="43">
        <v>46006</v>
      </c>
      <c r="B192" s="44">
        <v>200.02</v>
      </c>
      <c r="C192" s="48">
        <v>1199.5</v>
      </c>
      <c r="E192" s="45">
        <f t="shared" ref="E192:E245" si="6">(B192-B193)/B193</f>
        <v>-1.0781404549950437E-2</v>
      </c>
      <c r="F192" s="45">
        <f t="shared" ref="F192:F245" si="7">(C192-C193)/C193</f>
        <v>1.7819261773440814E-2</v>
      </c>
      <c r="H192" s="47">
        <f>(B192/B193)-1</f>
        <v>-1.0781404549950468E-2</v>
      </c>
      <c r="I192" s="47">
        <f>(C192/C193)-1</f>
        <v>1.7819261773440731E-2</v>
      </c>
    </row>
    <row r="193" spans="1:9">
      <c r="A193" s="43">
        <v>46007</v>
      </c>
      <c r="B193" s="44">
        <v>202.2</v>
      </c>
      <c r="C193" s="48">
        <v>1178.5</v>
      </c>
      <c r="E193" s="45">
        <f t="shared" si="6"/>
        <v>-2.2205773501111129E-3</v>
      </c>
      <c r="F193" s="45">
        <f t="shared" si="7"/>
        <v>-1.5043877977434183E-2</v>
      </c>
      <c r="H193" s="47">
        <f>(B193/B194)-1</f>
        <v>-2.2205773501111636E-3</v>
      </c>
      <c r="I193" s="47">
        <f>(C193/C194)-1</f>
        <v>-1.5043877977434228E-2</v>
      </c>
    </row>
    <row r="194" spans="1:9">
      <c r="A194" s="43">
        <v>46008</v>
      </c>
      <c r="B194" s="44">
        <v>202.65</v>
      </c>
      <c r="C194" s="48">
        <v>1196.5</v>
      </c>
      <c r="E194" s="45">
        <f t="shared" si="6"/>
        <v>7.7577204236908958E-3</v>
      </c>
      <c r="F194" s="45">
        <f t="shared" si="7"/>
        <v>-1.8054985638079606E-2</v>
      </c>
      <c r="H194" s="47">
        <f>(B194/B195)-1</f>
        <v>7.7577204236909392E-3</v>
      </c>
      <c r="I194" s="47">
        <f>(C194/C195)-1</f>
        <v>-1.8054985638079613E-2</v>
      </c>
    </row>
    <row r="195" spans="1:9">
      <c r="A195" s="43">
        <v>46009</v>
      </c>
      <c r="B195" s="44">
        <v>201.09</v>
      </c>
      <c r="C195" s="48">
        <v>1218.5</v>
      </c>
      <c r="E195" s="45">
        <f t="shared" si="6"/>
        <v>4.2449061126647739E-3</v>
      </c>
      <c r="F195" s="45">
        <f t="shared" si="7"/>
        <v>1.3305613305613306E-2</v>
      </c>
      <c r="H195" s="47">
        <f>(B195/B196)-1</f>
        <v>4.2449061126648147E-3</v>
      </c>
      <c r="I195" s="47">
        <f>(C195/C196)-1</f>
        <v>1.3305613305613306E-2</v>
      </c>
    </row>
    <row r="196" spans="1:9">
      <c r="A196" s="43">
        <v>46010</v>
      </c>
      <c r="B196" s="44">
        <v>200.24</v>
      </c>
      <c r="C196" s="48">
        <v>1202.5</v>
      </c>
      <c r="E196" s="45">
        <f t="shared" si="6"/>
        <v>4.5148991672519598E-3</v>
      </c>
      <c r="F196" s="45">
        <f t="shared" si="7"/>
        <v>1.433994095318431E-2</v>
      </c>
      <c r="H196" s="47">
        <f>(B196/B197)-1</f>
        <v>4.5148991672518957E-3</v>
      </c>
      <c r="I196" s="47">
        <f>(C196/C197)-1</f>
        <v>1.433994095318436E-2</v>
      </c>
    </row>
    <row r="197" spans="1:9">
      <c r="A197" s="43">
        <v>46013</v>
      </c>
      <c r="B197" s="44">
        <v>199.34</v>
      </c>
      <c r="C197" s="48">
        <v>1185.5</v>
      </c>
      <c r="E197" s="45">
        <f t="shared" si="6"/>
        <v>-2.3522346228917416E-3</v>
      </c>
      <c r="F197" s="45">
        <f t="shared" si="7"/>
        <v>-5.4530201342281879E-3</v>
      </c>
      <c r="H197" s="47">
        <f>(B197/B198)-1</f>
        <v>-2.3522346228916913E-3</v>
      </c>
      <c r="I197" s="47">
        <f>(C197/C198)-1</f>
        <v>-5.4530201342282147E-3</v>
      </c>
    </row>
    <row r="198" spans="1:9">
      <c r="A198" s="43">
        <v>46014</v>
      </c>
      <c r="B198" s="44">
        <v>199.81</v>
      </c>
      <c r="C198" s="48">
        <v>1192</v>
      </c>
      <c r="E198" s="45">
        <f t="shared" si="6"/>
        <v>1.0521042084168735E-3</v>
      </c>
      <c r="F198" s="45">
        <f t="shared" si="7"/>
        <v>-1.6907216494845362E-2</v>
      </c>
      <c r="H198" s="47">
        <f>(B198/B199)-1</f>
        <v>1.0521042084168375E-3</v>
      </c>
      <c r="I198" s="47">
        <f>(C198/C199)-1</f>
        <v>-1.690721649484539E-2</v>
      </c>
    </row>
    <row r="199" spans="1:9">
      <c r="A199" s="43">
        <v>46020</v>
      </c>
      <c r="B199" s="44">
        <v>199.6</v>
      </c>
      <c r="C199" s="48">
        <v>1212.5</v>
      </c>
      <c r="E199" s="45">
        <f t="shared" si="6"/>
        <v>2.5272241627285738E-2</v>
      </c>
      <c r="F199" s="45">
        <f t="shared" si="7"/>
        <v>0</v>
      </c>
      <c r="H199" s="47">
        <f>(B199/B200)-1</f>
        <v>2.5272241627285696E-2</v>
      </c>
      <c r="I199" s="47">
        <f>(C199/C200)-1</f>
        <v>0</v>
      </c>
    </row>
    <row r="200" spans="1:9">
      <c r="A200" s="43">
        <v>46021</v>
      </c>
      <c r="B200" s="44">
        <v>194.68</v>
      </c>
      <c r="C200" s="48">
        <v>1212.5</v>
      </c>
      <c r="E200" s="45">
        <f t="shared" si="6"/>
        <v>-3.0236612702366092E-2</v>
      </c>
      <c r="F200" s="45">
        <f t="shared" si="7"/>
        <v>1.2386457473162675E-3</v>
      </c>
      <c r="H200" s="47">
        <f>(B200/B201)-1</f>
        <v>-3.0236612702366106E-2</v>
      </c>
      <c r="I200" s="47">
        <f>(C200/C201)-1</f>
        <v>1.2386457473163581E-3</v>
      </c>
    </row>
    <row r="201" spans="1:9">
      <c r="A201" s="43">
        <v>46024</v>
      </c>
      <c r="B201" s="44">
        <v>200.75</v>
      </c>
      <c r="C201" s="48">
        <v>1211</v>
      </c>
      <c r="E201" s="45">
        <f t="shared" si="6"/>
        <v>-3.6231884057970508E-3</v>
      </c>
      <c r="F201" s="45">
        <f t="shared" si="7"/>
        <v>1.1695906432748537E-2</v>
      </c>
      <c r="H201" s="47">
        <f>(B201/B202)-1</f>
        <v>-3.6231884057970065E-3</v>
      </c>
      <c r="I201" s="47">
        <f>(C201/C202)-1</f>
        <v>1.1695906432748648E-2</v>
      </c>
    </row>
    <row r="202" spans="1:9">
      <c r="A202" s="43">
        <v>46027</v>
      </c>
      <c r="B202" s="44">
        <v>201.48</v>
      </c>
      <c r="C202" s="48">
        <v>1197</v>
      </c>
      <c r="E202" s="45">
        <f t="shared" si="6"/>
        <v>-2.3032536488386754E-2</v>
      </c>
      <c r="F202" s="45">
        <f t="shared" si="7"/>
        <v>3.5915188230203378E-2</v>
      </c>
      <c r="H202" s="47">
        <f>(B202/B203)-1</f>
        <v>-2.3032536488386768E-2</v>
      </c>
      <c r="I202" s="47">
        <f>(C202/C203)-1</f>
        <v>3.5915188230203343E-2</v>
      </c>
    </row>
    <row r="203" spans="1:9">
      <c r="A203" s="43">
        <v>46028</v>
      </c>
      <c r="B203" s="44">
        <v>206.23</v>
      </c>
      <c r="C203" s="48">
        <v>1155.5</v>
      </c>
      <c r="E203" s="45">
        <f t="shared" si="6"/>
        <v>-9.2241172231564538E-3</v>
      </c>
      <c r="F203" s="45">
        <f t="shared" si="7"/>
        <v>4.329004329004329E-4</v>
      </c>
      <c r="H203" s="47">
        <f>(B203/B204)-1</f>
        <v>-9.2241172231564139E-3</v>
      </c>
      <c r="I203" s="47">
        <f>(C203/C204)-1</f>
        <v>4.3290043290045155E-4</v>
      </c>
    </row>
    <row r="204" spans="1:9">
      <c r="A204" s="43">
        <v>46029</v>
      </c>
      <c r="B204" s="44">
        <v>208.15</v>
      </c>
      <c r="C204" s="48">
        <v>1155</v>
      </c>
      <c r="E204" s="45">
        <f t="shared" si="6"/>
        <v>-1.1727281359794886E-2</v>
      </c>
      <c r="F204" s="45">
        <f t="shared" si="7"/>
        <v>1.6278046634403871E-2</v>
      </c>
      <c r="H204" s="47">
        <f>(B204/B205)-1</f>
        <v>-1.1727281359794839E-2</v>
      </c>
      <c r="I204" s="47">
        <f>(C204/C205)-1</f>
        <v>1.6278046634403909E-2</v>
      </c>
    </row>
    <row r="205" spans="1:9">
      <c r="A205" s="43">
        <v>46030</v>
      </c>
      <c r="B205" s="44">
        <v>210.62</v>
      </c>
      <c r="C205" s="48">
        <v>1136.5</v>
      </c>
      <c r="E205" s="45">
        <f t="shared" si="6"/>
        <v>-9.0128551776480113E-4</v>
      </c>
      <c r="F205" s="45">
        <f t="shared" si="7"/>
        <v>2.2032374100719423E-2</v>
      </c>
      <c r="H205" s="47">
        <f>(B205/B206)-1</f>
        <v>-9.0128551776480492E-4</v>
      </c>
      <c r="I205" s="47">
        <f>(C205/C206)-1</f>
        <v>2.2032374100719343E-2</v>
      </c>
    </row>
    <row r="206" spans="1:9">
      <c r="A206" s="43">
        <v>46031</v>
      </c>
      <c r="B206" s="44">
        <v>210.81</v>
      </c>
      <c r="C206" s="48">
        <v>1112</v>
      </c>
      <c r="E206" s="45">
        <f t="shared" si="6"/>
        <v>-4.157022060560232E-3</v>
      </c>
      <c r="F206" s="45">
        <f t="shared" si="7"/>
        <v>7.6997578692493948E-2</v>
      </c>
      <c r="H206" s="47">
        <f>(B206/B207)-1</f>
        <v>-4.1570220605602337E-3</v>
      </c>
      <c r="I206" s="47">
        <f>(C206/C207)-1</f>
        <v>7.6997578692493907E-2</v>
      </c>
    </row>
    <row r="207" spans="1:9">
      <c r="A207" s="43">
        <v>46034</v>
      </c>
      <c r="B207" s="44">
        <v>211.69</v>
      </c>
      <c r="C207" s="48">
        <v>1032.5</v>
      </c>
      <c r="E207" s="45">
        <f t="shared" si="6"/>
        <v>-2.7793480309025974E-3</v>
      </c>
      <c r="F207" s="45">
        <f t="shared" si="7"/>
        <v>2.5832091405861898E-2</v>
      </c>
      <c r="H207" s="47">
        <f>(B207/B208)-1</f>
        <v>-2.7793480309026286E-3</v>
      </c>
      <c r="I207" s="47">
        <f>(C207/C208)-1</f>
        <v>2.5832091405861846E-2</v>
      </c>
    </row>
    <row r="208" spans="1:9">
      <c r="A208" s="43">
        <v>46035</v>
      </c>
      <c r="B208" s="44">
        <v>212.28</v>
      </c>
      <c r="C208" s="48">
        <v>1006.5</v>
      </c>
      <c r="E208" s="45">
        <f ca="1">AVERAGE(E2:E246)</f>
        <v>0</v>
      </c>
      <c r="F208" s="45">
        <f>(C208-C209)/C209</f>
        <v>2.494908350305499E-2</v>
      </c>
      <c r="H208" s="47">
        <f ca="1">AVERAGE(H2:H245)</f>
        <v>0</v>
      </c>
      <c r="I208" s="47">
        <f>(C208/C209)-1</f>
        <v>2.4949083503055025E-2</v>
      </c>
    </row>
    <row r="209" spans="1:9">
      <c r="A209" s="43">
        <v>46037</v>
      </c>
      <c r="B209" s="44">
        <v>210.15</v>
      </c>
      <c r="C209" s="44">
        <v>982</v>
      </c>
      <c r="E209" s="45">
        <f t="shared" si="6"/>
        <v>6.3135528911822836E-2</v>
      </c>
      <c r="F209" s="45">
        <f t="shared" si="7"/>
        <v>-2.1912350597609563E-2</v>
      </c>
      <c r="H209" s="47">
        <f>(B209/B210)-1</f>
        <v>6.3135528911822725E-2</v>
      </c>
      <c r="I209" s="47">
        <f>(C209/C210)-1</f>
        <v>-2.1912350597609542E-2</v>
      </c>
    </row>
    <row r="210" spans="1:9">
      <c r="A210" s="43">
        <v>46038</v>
      </c>
      <c r="B210" s="44">
        <v>197.67</v>
      </c>
      <c r="C210" s="48">
        <v>1004</v>
      </c>
      <c r="E210" s="45">
        <f t="shared" si="6"/>
        <v>5.289121700656014E-3</v>
      </c>
      <c r="F210" s="45">
        <f t="shared" si="7"/>
        <v>0</v>
      </c>
      <c r="H210" s="47">
        <f>(B210/B211)-1</f>
        <v>5.2891217006560964E-3</v>
      </c>
      <c r="I210" s="47">
        <f>(C210/C211)-1</f>
        <v>0</v>
      </c>
    </row>
    <row r="211" spans="1:9">
      <c r="A211" s="43">
        <v>46041</v>
      </c>
      <c r="B211" s="44">
        <v>196.63</v>
      </c>
      <c r="C211" s="48">
        <v>1004</v>
      </c>
      <c r="E211" s="45">
        <f t="shared" si="6"/>
        <v>6.2947799385874598E-3</v>
      </c>
      <c r="F211" s="45">
        <f t="shared" si="7"/>
        <v>1.9910605444941106E-2</v>
      </c>
      <c r="H211" s="47">
        <f>(B211/B212)-1</f>
        <v>6.2947799385875136E-3</v>
      </c>
      <c r="I211" s="47">
        <f>(C211/C212)-1</f>
        <v>1.9910605444941165E-2</v>
      </c>
    </row>
    <row r="212" spans="1:9">
      <c r="A212" s="43">
        <v>46042</v>
      </c>
      <c r="B212" s="44">
        <v>195.4</v>
      </c>
      <c r="C212" s="44">
        <v>984.4</v>
      </c>
      <c r="E212" s="45">
        <f t="shared" si="6"/>
        <v>-1.1383759170250442E-2</v>
      </c>
      <c r="F212" s="45">
        <f t="shared" si="7"/>
        <v>1.2548858259617292E-2</v>
      </c>
      <c r="H212" s="47">
        <f>(B212/B213)-1</f>
        <v>-1.1383759170250474E-2</v>
      </c>
      <c r="I212" s="47">
        <f>(C212/C213)-1</f>
        <v>1.2548858259617379E-2</v>
      </c>
    </row>
    <row r="213" spans="1:9">
      <c r="A213" s="43">
        <v>46043</v>
      </c>
      <c r="B213" s="44">
        <v>197.65</v>
      </c>
      <c r="C213" s="44">
        <v>972.2</v>
      </c>
      <c r="E213" s="45">
        <f t="shared" si="6"/>
        <v>-1.9189011765893826E-3</v>
      </c>
      <c r="F213" s="45">
        <f t="shared" si="7"/>
        <v>-4.5054269916034988E-3</v>
      </c>
      <c r="H213" s="47">
        <f>(B213/B214)-1</f>
        <v>-1.9189011765894382E-3</v>
      </c>
      <c r="I213" s="47">
        <f>(C213/C214)-1</f>
        <v>-4.5054269916035006E-3</v>
      </c>
    </row>
    <row r="214" spans="1:9">
      <c r="A214" s="43">
        <v>46044</v>
      </c>
      <c r="B214" s="44">
        <v>198.03</v>
      </c>
      <c r="C214" s="44">
        <v>976.6</v>
      </c>
      <c r="E214" s="45">
        <f t="shared" si="6"/>
        <v>-3.1448694121099512E-2</v>
      </c>
      <c r="F214" s="45">
        <f t="shared" si="7"/>
        <v>-8.1849805606707033E-4</v>
      </c>
      <c r="H214" s="47">
        <f>(B214/B215)-1</f>
        <v>-3.1448694121099519E-2</v>
      </c>
      <c r="I214" s="47">
        <f>(C214/C215)-1</f>
        <v>-8.1849805606704074E-4</v>
      </c>
    </row>
    <row r="215" spans="1:9">
      <c r="A215" s="43">
        <v>46045</v>
      </c>
      <c r="B215" s="44">
        <v>204.46</v>
      </c>
      <c r="C215" s="44">
        <v>977.4</v>
      </c>
      <c r="E215" s="45">
        <f t="shared" si="6"/>
        <v>-3.7336974433824471E-2</v>
      </c>
      <c r="F215" s="45">
        <f t="shared" si="7"/>
        <v>1.3900414937759313E-2</v>
      </c>
      <c r="H215" s="47">
        <f>(B215/B216)-1</f>
        <v>-3.7336974433824444E-2</v>
      </c>
      <c r="I215" s="47">
        <f>(C215/C216)-1</f>
        <v>1.3900414937759287E-2</v>
      </c>
    </row>
    <row r="216" spans="1:9">
      <c r="A216" s="43">
        <v>46048</v>
      </c>
      <c r="B216" s="44">
        <v>212.39</v>
      </c>
      <c r="C216" s="44">
        <v>964</v>
      </c>
      <c r="E216" s="45">
        <f t="shared" si="6"/>
        <v>3.8283391624916053E-3</v>
      </c>
      <c r="F216" s="45">
        <f t="shared" si="7"/>
        <v>5.0041701417847728E-3</v>
      </c>
      <c r="H216" s="47">
        <f>(B216/B217)-1</f>
        <v>3.8283391624915897E-3</v>
      </c>
      <c r="I216" s="47">
        <f>(C216/C217)-1</f>
        <v>5.0041701417846696E-3</v>
      </c>
    </row>
    <row r="217" spans="1:9">
      <c r="A217" s="43">
        <v>46049</v>
      </c>
      <c r="B217" s="44">
        <v>211.58</v>
      </c>
      <c r="C217" s="44">
        <v>959.2</v>
      </c>
      <c r="E217" s="45">
        <f t="shared" si="6"/>
        <v>6.1343858481146063E-3</v>
      </c>
      <c r="F217" s="45">
        <f t="shared" si="7"/>
        <v>-2.4410089503661511E-2</v>
      </c>
      <c r="H217" s="47">
        <f>(B217/B218)-1</f>
        <v>6.134385848114654E-3</v>
      </c>
      <c r="I217" s="47">
        <f>(C217/C218)-1</f>
        <v>-2.4410089503661525E-2</v>
      </c>
    </row>
    <row r="218" spans="1:9">
      <c r="A218" s="43">
        <v>46050</v>
      </c>
      <c r="B218" s="44">
        <v>210.29</v>
      </c>
      <c r="C218" s="44">
        <v>983.2</v>
      </c>
      <c r="E218" s="45">
        <f t="shared" si="6"/>
        <v>5.0661950963055121E-3</v>
      </c>
      <c r="F218" s="45">
        <f t="shared" si="7"/>
        <v>4.7740835464620705E-2</v>
      </c>
      <c r="H218" s="47">
        <f>(B218/B219)-1</f>
        <v>5.0661950963055702E-3</v>
      </c>
      <c r="I218" s="47">
        <f>(C218/C219)-1</f>
        <v>4.7740835464620712E-2</v>
      </c>
    </row>
    <row r="219" spans="1:9">
      <c r="A219" s="43">
        <v>46051</v>
      </c>
      <c r="B219" s="44">
        <v>209.23</v>
      </c>
      <c r="C219" s="44">
        <v>938.4</v>
      </c>
      <c r="E219" s="45">
        <f t="shared" si="6"/>
        <v>4.1272735998463556E-3</v>
      </c>
      <c r="F219" s="45">
        <f t="shared" si="7"/>
        <v>1.8671298306556592E-2</v>
      </c>
      <c r="H219" s="47">
        <f>(B219/B220)-1</f>
        <v>4.1272735998463261E-3</v>
      </c>
      <c r="I219" s="47">
        <f>(C219/C220)-1</f>
        <v>1.8671298306556672E-2</v>
      </c>
    </row>
    <row r="220" spans="1:9">
      <c r="A220" s="43">
        <v>46052</v>
      </c>
      <c r="B220" s="44">
        <v>208.37</v>
      </c>
      <c r="C220" s="44">
        <v>921.2</v>
      </c>
      <c r="E220" s="45">
        <f t="shared" si="6"/>
        <v>4.3379765749265225E-3</v>
      </c>
      <c r="F220" s="45">
        <f t="shared" si="7"/>
        <v>-3.5190615835777032E-2</v>
      </c>
      <c r="H220" s="47">
        <f>(B220/B221)-1</f>
        <v>4.3379765749265164E-3</v>
      </c>
      <c r="I220" s="47">
        <f>(C220/C221)-1</f>
        <v>-3.5190615835776984E-2</v>
      </c>
    </row>
    <row r="221" spans="1:9">
      <c r="A221" s="43">
        <v>46055</v>
      </c>
      <c r="B221" s="44">
        <v>207.47</v>
      </c>
      <c r="C221" s="44">
        <v>954.8</v>
      </c>
      <c r="E221" s="45">
        <f t="shared" si="6"/>
        <v>1.8457611310195823E-2</v>
      </c>
      <c r="F221" s="45">
        <f t="shared" si="7"/>
        <v>5.8997050147491662E-3</v>
      </c>
      <c r="H221" s="47">
        <f>(B221/B222)-1</f>
        <v>1.8457611310195743E-2</v>
      </c>
      <c r="I221" s="47">
        <f>(C221/C222)-1</f>
        <v>5.8997050147491237E-3</v>
      </c>
    </row>
    <row r="222" spans="1:9">
      <c r="A222" s="43">
        <v>46056</v>
      </c>
      <c r="B222" s="44">
        <v>203.71</v>
      </c>
      <c r="C222" s="44">
        <v>949.2</v>
      </c>
      <c r="E222" s="45">
        <f t="shared" si="6"/>
        <v>2.4337506914064482E-2</v>
      </c>
      <c r="F222" s="45">
        <f t="shared" si="7"/>
        <v>1.8236429950654366E-2</v>
      </c>
      <c r="H222" s="47">
        <f>(B222/B223)-1</f>
        <v>2.4337506914064555E-2</v>
      </c>
      <c r="I222" s="47">
        <f>(C222/C223)-1</f>
        <v>1.8236429950654331E-2</v>
      </c>
    </row>
    <row r="223" spans="1:9">
      <c r="A223" s="43">
        <v>46057</v>
      </c>
      <c r="B223" s="44">
        <v>198.87</v>
      </c>
      <c r="C223" s="44">
        <v>932.2</v>
      </c>
      <c r="E223" s="45">
        <f t="shared" si="6"/>
        <v>3.4057820299500892E-2</v>
      </c>
      <c r="F223" s="45">
        <f t="shared" si="7"/>
        <v>-1.8323504633529882E-2</v>
      </c>
      <c r="H223" s="47">
        <f>(B223/B224)-1</f>
        <v>3.4057820299500996E-2</v>
      </c>
      <c r="I223" s="47">
        <f>(C223/C224)-1</f>
        <v>-1.832350463352983E-2</v>
      </c>
    </row>
    <row r="224" spans="1:9">
      <c r="A224" s="43">
        <v>46058</v>
      </c>
      <c r="B224" s="44">
        <v>192.32</v>
      </c>
      <c r="C224" s="44">
        <v>949.6</v>
      </c>
      <c r="E224" s="45">
        <f t="shared" si="6"/>
        <v>-1.9425890990669464E-2</v>
      </c>
      <c r="F224" s="45">
        <f t="shared" si="7"/>
        <v>7.4451233310703857E-2</v>
      </c>
      <c r="H224" s="47">
        <f>(B224/B225)-1</f>
        <v>-1.9425890990669492E-2</v>
      </c>
      <c r="I224" s="47">
        <f>(C224/C225)-1</f>
        <v>7.4451233310703913E-2</v>
      </c>
    </row>
    <row r="225" spans="1:9">
      <c r="A225" s="43">
        <v>46059</v>
      </c>
      <c r="B225" s="44">
        <v>196.13</v>
      </c>
      <c r="C225" s="44">
        <v>883.8</v>
      </c>
      <c r="E225" s="45">
        <f t="shared" si="6"/>
        <v>1.3958537972393055E-2</v>
      </c>
      <c r="F225" s="45">
        <f t="shared" si="7"/>
        <v>-4.0599218410768662E-2</v>
      </c>
      <c r="H225" s="47">
        <f>(B225/B226)-1</f>
        <v>1.3958537972392993E-2</v>
      </c>
      <c r="I225" s="47">
        <f>(C225/C226)-1</f>
        <v>-4.0599218410768634E-2</v>
      </c>
    </row>
    <row r="226" spans="1:9">
      <c r="A226" s="43">
        <v>46062</v>
      </c>
      <c r="B226" s="44">
        <v>193.43</v>
      </c>
      <c r="C226" s="44">
        <v>921.2</v>
      </c>
      <c r="E226" s="45">
        <f t="shared" si="6"/>
        <v>-3.8904899135446612E-2</v>
      </c>
      <c r="F226" s="45">
        <f t="shared" si="7"/>
        <v>1.8801150188011501E-2</v>
      </c>
      <c r="H226" s="47">
        <f>(B226/B227)-1</f>
        <v>-3.8904899135446591E-2</v>
      </c>
      <c r="I226" s="47">
        <f>(C226/C227)-1</f>
        <v>1.8801150188011428E-2</v>
      </c>
    </row>
    <row r="227" spans="1:9">
      <c r="A227" s="43">
        <v>46063</v>
      </c>
      <c r="B227" s="44">
        <v>201.26</v>
      </c>
      <c r="C227" s="44">
        <v>904.2</v>
      </c>
      <c r="E227" s="45">
        <f t="shared" si="6"/>
        <v>-1.8845467169212233E-3</v>
      </c>
      <c r="F227" s="45">
        <f t="shared" si="7"/>
        <v>3.5264483627204107E-2</v>
      </c>
      <c r="H227" s="47">
        <f>(B227/B228)-1</f>
        <v>-1.884546716921176E-3</v>
      </c>
      <c r="I227" s="47">
        <f>(C227/C228)-1</f>
        <v>3.5264483627204024E-2</v>
      </c>
    </row>
    <row r="228" spans="1:9">
      <c r="A228" s="43">
        <v>46064</v>
      </c>
      <c r="B228" s="44">
        <v>201.64</v>
      </c>
      <c r="C228" s="44">
        <v>873.4</v>
      </c>
      <c r="E228" s="45">
        <f t="shared" si="6"/>
        <v>2.2048760707587788E-2</v>
      </c>
      <c r="F228" s="45">
        <f t="shared" si="7"/>
        <v>-7.9662802950474204E-2</v>
      </c>
      <c r="H228" s="47">
        <f>(B228/B229)-1</f>
        <v>2.2048760707587878E-2</v>
      </c>
      <c r="I228" s="47">
        <f>(C228/C229)-1</f>
        <v>-7.9662802950474232E-2</v>
      </c>
    </row>
    <row r="229" spans="1:9">
      <c r="A229" s="43">
        <v>46065</v>
      </c>
      <c r="B229" s="44">
        <v>197.29</v>
      </c>
      <c r="C229" s="44">
        <v>949</v>
      </c>
      <c r="E229" s="45">
        <f t="shared" si="6"/>
        <v>4.0613956432301222E-2</v>
      </c>
      <c r="F229" s="45">
        <f t="shared" si="7"/>
        <v>-0.10682352941176471</v>
      </c>
      <c r="H229" s="47">
        <f>(B229/B230)-1</f>
        <v>4.0613956432301146E-2</v>
      </c>
      <c r="I229" s="47">
        <f>(C229/C230)-1</f>
        <v>-0.10682352941176465</v>
      </c>
    </row>
    <row r="230" spans="1:9">
      <c r="A230" s="43">
        <v>46066</v>
      </c>
      <c r="B230" s="44">
        <v>189.59</v>
      </c>
      <c r="C230" s="48">
        <v>1062.5</v>
      </c>
      <c r="E230" s="45">
        <f t="shared" si="6"/>
        <v>-4.2426385170968257E-2</v>
      </c>
      <c r="F230" s="45">
        <f t="shared" si="7"/>
        <v>1.4137606032045241E-3</v>
      </c>
      <c r="H230" s="47">
        <f>(B230/B231)-1</f>
        <v>-4.2426385170968306E-2</v>
      </c>
      <c r="I230" s="47">
        <f>(C230/C231)-1</f>
        <v>1.413760603204528E-3</v>
      </c>
    </row>
    <row r="231" spans="1:9">
      <c r="A231" s="43">
        <v>46069</v>
      </c>
      <c r="B231" s="44">
        <v>197.99</v>
      </c>
      <c r="C231" s="48">
        <v>1061</v>
      </c>
      <c r="E231" s="45">
        <f t="shared" si="6"/>
        <v>0.15331741131240184</v>
      </c>
      <c r="F231" s="45">
        <f t="shared" si="7"/>
        <v>6.6413662239089184E-3</v>
      </c>
      <c r="H231" s="47">
        <f>(B231/B232)-1</f>
        <v>0.15331741131240184</v>
      </c>
      <c r="I231" s="47">
        <f>(C231/C232)-1</f>
        <v>6.6413662239088733E-3</v>
      </c>
    </row>
    <row r="232" spans="1:9">
      <c r="A232" s="43">
        <v>46070</v>
      </c>
      <c r="B232" s="44">
        <v>171.67</v>
      </c>
      <c r="C232" s="48">
        <v>1054</v>
      </c>
      <c r="E232" s="45">
        <f t="shared" si="6"/>
        <v>-4.9814579066806891E-2</v>
      </c>
      <c r="F232" s="45">
        <f t="shared" si="7"/>
        <v>-1.2646370023419205E-2</v>
      </c>
      <c r="H232" s="47">
        <f>(B232/B233)-1</f>
        <v>-4.9814579066806863E-2</v>
      </c>
      <c r="I232" s="47">
        <f>(C232/C233)-1</f>
        <v>-1.2646370023419173E-2</v>
      </c>
    </row>
    <row r="233" spans="1:9">
      <c r="A233" s="43">
        <v>46071</v>
      </c>
      <c r="B233" s="44">
        <v>180.67</v>
      </c>
      <c r="C233" s="48">
        <v>1067.5</v>
      </c>
      <c r="E233" s="45">
        <f t="shared" si="6"/>
        <v>-3.6734911494988351E-2</v>
      </c>
      <c r="F233" s="45">
        <f t="shared" si="7"/>
        <v>-1.9742883379247015E-2</v>
      </c>
      <c r="H233" s="47">
        <f>(B233/B234)-1</f>
        <v>-3.6734911494988309E-2</v>
      </c>
      <c r="I233" s="47">
        <f>(C233/C234)-1</f>
        <v>-1.9742883379247012E-2</v>
      </c>
    </row>
    <row r="234" spans="1:9">
      <c r="A234" s="43">
        <v>46072</v>
      </c>
      <c r="B234" s="44">
        <v>187.56</v>
      </c>
      <c r="C234" s="48">
        <v>1089</v>
      </c>
      <c r="E234" s="45">
        <f t="shared" si="6"/>
        <v>-7.2907913597943755E-2</v>
      </c>
      <c r="F234" s="45">
        <f t="shared" si="7"/>
        <v>-1.8476791347453808E-2</v>
      </c>
      <c r="H234" s="47">
        <f>(B234/B235)-1</f>
        <v>-7.2907913597943796E-2</v>
      </c>
      <c r="I234" s="47">
        <f>(C234/C235)-1</f>
        <v>-1.8476791347453836E-2</v>
      </c>
    </row>
    <row r="235" spans="1:9">
      <c r="A235" s="43">
        <v>46073</v>
      </c>
      <c r="B235" s="44">
        <v>202.31</v>
      </c>
      <c r="C235" s="48">
        <v>1109.5</v>
      </c>
      <c r="E235" s="45">
        <f t="shared" si="6"/>
        <v>-9.2454692266283806E-2</v>
      </c>
      <c r="F235" s="45">
        <f t="shared" si="7"/>
        <v>9.0211998195760036E-4</v>
      </c>
      <c r="H235" s="47">
        <f>(B235/B236)-1</f>
        <v>-9.2454692266283778E-2</v>
      </c>
      <c r="I235" s="47">
        <f>(C235/C236)-1</f>
        <v>9.0211998195766085E-4</v>
      </c>
    </row>
    <row r="236" spans="1:9">
      <c r="A236" s="43">
        <v>46076</v>
      </c>
      <c r="B236" s="44">
        <v>222.92</v>
      </c>
      <c r="C236" s="48">
        <v>1108.5</v>
      </c>
      <c r="E236" s="45">
        <f t="shared" si="6"/>
        <v>3.150031500314952E-3</v>
      </c>
      <c r="F236" s="45">
        <f t="shared" si="7"/>
        <v>-2.1624007060900265E-2</v>
      </c>
      <c r="H236" s="47">
        <f>(B236/B237)-1</f>
        <v>3.1500315003150092E-3</v>
      </c>
      <c r="I236" s="47">
        <f>(C236/C237)-1</f>
        <v>-2.1624007060900285E-2</v>
      </c>
    </row>
    <row r="237" spans="1:9">
      <c r="A237" s="43">
        <v>46077</v>
      </c>
      <c r="B237" s="44">
        <v>222.22</v>
      </c>
      <c r="C237" s="48">
        <v>1133</v>
      </c>
      <c r="E237" s="45">
        <f t="shared" si="6"/>
        <v>4.7474793145544664E-3</v>
      </c>
      <c r="F237" s="45">
        <f t="shared" si="7"/>
        <v>1.5688032272523533E-2</v>
      </c>
      <c r="H237" s="47">
        <f>(B237/B238)-1</f>
        <v>4.747479314554548E-3</v>
      </c>
      <c r="I237" s="47">
        <f>(C237/C238)-1</f>
        <v>1.5688032272523467E-2</v>
      </c>
    </row>
    <row r="238" spans="1:9">
      <c r="A238" s="43">
        <v>46078</v>
      </c>
      <c r="B238" s="44">
        <v>221.17</v>
      </c>
      <c r="C238" s="48">
        <v>1115.5</v>
      </c>
      <c r="E238" s="45">
        <f t="shared" si="6"/>
        <v>1.9451486517630786E-2</v>
      </c>
      <c r="F238" s="45">
        <f t="shared" si="7"/>
        <v>-1.5445719329214475E-2</v>
      </c>
      <c r="H238" s="47">
        <f>(B238/B239)-1</f>
        <v>1.9451486517630734E-2</v>
      </c>
      <c r="I238" s="47">
        <f>(C238/C239)-1</f>
        <v>-1.5445719329214458E-2</v>
      </c>
    </row>
    <row r="239" spans="1:9">
      <c r="A239" s="43">
        <v>46079</v>
      </c>
      <c r="B239" s="44">
        <v>216.95</v>
      </c>
      <c r="C239" s="48">
        <v>1133</v>
      </c>
      <c r="E239" s="45">
        <f t="shared" si="6"/>
        <v>-2.6606245513280721E-2</v>
      </c>
      <c r="F239" s="45">
        <f t="shared" si="7"/>
        <v>1.3870246085011185E-2</v>
      </c>
      <c r="H239" s="47">
        <f>(B239/B240)-1</f>
        <v>-2.6606245513280724E-2</v>
      </c>
      <c r="I239" s="47">
        <f>(C239/C240)-1</f>
        <v>1.3870246085011084E-2</v>
      </c>
    </row>
    <row r="240" spans="1:9">
      <c r="A240" s="43">
        <v>46080</v>
      </c>
      <c r="B240" s="44">
        <v>222.88</v>
      </c>
      <c r="C240" s="48">
        <v>1117.5</v>
      </c>
      <c r="E240" s="45">
        <f t="shared" si="6"/>
        <v>1.0472865756902582E-2</v>
      </c>
      <c r="F240" s="45">
        <f t="shared" si="7"/>
        <v>3.9534883720930232E-2</v>
      </c>
      <c r="H240" s="47">
        <f>(B240/B241)-1</f>
        <v>1.047286575690265E-2</v>
      </c>
      <c r="I240" s="47">
        <f>(C240/C241)-1</f>
        <v>3.953488372093017E-2</v>
      </c>
    </row>
    <row r="241" spans="1:9">
      <c r="A241" s="43">
        <v>46083</v>
      </c>
      <c r="B241" s="44">
        <v>220.57</v>
      </c>
      <c r="C241" s="48">
        <v>1075</v>
      </c>
      <c r="E241" s="45">
        <f t="shared" si="6"/>
        <v>-9.9201005476254964E-3</v>
      </c>
      <c r="F241" s="45">
        <f t="shared" si="7"/>
        <v>-2.6708918062471707E-2</v>
      </c>
      <c r="H241" s="47">
        <f>(B241/B242)-1</f>
        <v>-9.9201005476254878E-3</v>
      </c>
      <c r="I241" s="47">
        <f>(C241/C242)-1</f>
        <v>-2.6708918062471665E-2</v>
      </c>
    </row>
    <row r="242" spans="1:9">
      <c r="A242" s="43">
        <v>46084</v>
      </c>
      <c r="B242" s="44">
        <v>222.78</v>
      </c>
      <c r="C242" s="48">
        <v>1104.5</v>
      </c>
      <c r="E242" s="45">
        <f t="shared" si="6"/>
        <v>1.3696136870364429E-2</v>
      </c>
      <c r="F242" s="45">
        <f t="shared" si="7"/>
        <v>9.0620752152242867E-4</v>
      </c>
      <c r="H242" s="47">
        <f>(B242/B243)-1</f>
        <v>1.3696136870364528E-2</v>
      </c>
      <c r="I242" s="47">
        <f>(C242/C243)-1</f>
        <v>9.0620752152248407E-4</v>
      </c>
    </row>
    <row r="243" spans="1:9">
      <c r="A243" s="43">
        <v>46085</v>
      </c>
      <c r="B243" s="44">
        <v>219.77</v>
      </c>
      <c r="C243" s="48">
        <v>1103.5</v>
      </c>
      <c r="E243" s="45">
        <f>(B243-B244)/B244</f>
        <v>3.096120467232736E-2</v>
      </c>
      <c r="F243" s="45">
        <f ca="1">AVERAGE(F2:F246)</f>
        <v>0</v>
      </c>
      <c r="H243" s="47">
        <f>(B243/B244)-1</f>
        <v>3.0961204672327325E-2</v>
      </c>
      <c r="I243" s="47">
        <f ca="1">AVERAGE(I2:I246)</f>
        <v>0</v>
      </c>
    </row>
    <row r="244" spans="1:9">
      <c r="A244" s="43">
        <v>46087</v>
      </c>
      <c r="B244" s="44">
        <v>213.17</v>
      </c>
      <c r="C244" s="48">
        <v>1111</v>
      </c>
      <c r="E244" s="45">
        <f t="shared" si="6"/>
        <v>-5.3193971349914364E-3</v>
      </c>
      <c r="F244" s="45">
        <f t="shared" si="7"/>
        <v>2.2552999548940008E-3</v>
      </c>
      <c r="H244" s="47">
        <f>(B244/B245)-1</f>
        <v>-5.3193971349914104E-3</v>
      </c>
      <c r="I244" s="47">
        <f>(C244/C245)-1</f>
        <v>2.2552999548939301E-3</v>
      </c>
    </row>
    <row r="245" spans="1:9">
      <c r="A245" s="43">
        <v>46090</v>
      </c>
      <c r="B245" s="44">
        <v>214.31</v>
      </c>
      <c r="C245" s="48">
        <v>1108.5</v>
      </c>
      <c r="E245" s="45">
        <f t="shared" si="6"/>
        <v>1.1994144590829635E-2</v>
      </c>
      <c r="F245" s="45">
        <f t="shared" si="7"/>
        <v>1.7712870750266926E-3</v>
      </c>
      <c r="H245" s="47">
        <f>(B245/B246)-1</f>
        <v>1.1994144590829592E-2</v>
      </c>
      <c r="I245" s="47">
        <f>(C245/C246)-1</f>
        <v>1.7712870750266063E-3</v>
      </c>
    </row>
    <row r="246" spans="1:9">
      <c r="A246" s="43">
        <v>46091</v>
      </c>
      <c r="B246" s="44">
        <v>211.77</v>
      </c>
      <c r="C246" s="48">
        <v>1106.54</v>
      </c>
    </row>
    <row r="247" spans="1:9">
      <c r="A247" s="44"/>
      <c r="B247" s="44"/>
      <c r="C247" s="44"/>
    </row>
    <row r="248" spans="1:9">
      <c r="A248" s="44"/>
      <c r="B248" s="44"/>
      <c r="C248" s="44"/>
    </row>
    <row r="249" spans="1:9">
      <c r="A249" s="44"/>
      <c r="B249" s="44"/>
      <c r="C249" s="44"/>
    </row>
    <row r="250" spans="1:9">
      <c r="A250" s="44"/>
      <c r="B250" s="44"/>
      <c r="C250" s="44"/>
    </row>
    <row r="251" spans="1:9">
      <c r="A251" s="44"/>
      <c r="B251" s="44"/>
      <c r="C251" s="44"/>
      <c r="E251" s="46"/>
      <c r="F251" s="46"/>
      <c r="H251" s="46"/>
      <c r="I251" s="46"/>
    </row>
    <row r="252" spans="1:9">
      <c r="A252" s="44"/>
      <c r="B252" s="44"/>
      <c r="C252" s="44"/>
      <c r="E252" s="46"/>
      <c r="F252" s="46"/>
      <c r="H252" s="46"/>
      <c r="I252" s="46"/>
    </row>
    <row r="253" spans="1:9">
      <c r="A253" s="44"/>
      <c r="B253" s="44"/>
      <c r="C253" s="44"/>
      <c r="E253" s="46"/>
      <c r="F253" s="46"/>
      <c r="H253" s="46"/>
      <c r="I253" s="46"/>
    </row>
    <row r="254" spans="1:9">
      <c r="A254" s="44"/>
      <c r="B254" s="44"/>
      <c r="C254" s="44"/>
      <c r="E254" s="46"/>
      <c r="F254" s="46"/>
      <c r="H254" s="46"/>
      <c r="I254" s="46"/>
    </row>
    <row r="255" spans="1:9">
      <c r="A255" s="44"/>
      <c r="B255" s="44"/>
      <c r="C255" s="44"/>
      <c r="E255" s="46"/>
      <c r="F255" s="46"/>
      <c r="H255" s="46"/>
      <c r="I255" s="46"/>
    </row>
    <row r="256" spans="1:9">
      <c r="A256" s="44"/>
      <c r="B256" s="44"/>
      <c r="C256" s="44"/>
      <c r="E256" s="46"/>
      <c r="F256" s="46"/>
      <c r="H256" s="46"/>
      <c r="I256" s="46"/>
    </row>
    <row r="257" spans="1:9">
      <c r="A257" s="44"/>
      <c r="B257" s="44"/>
      <c r="C257" s="44"/>
      <c r="E257" s="46"/>
      <c r="F257" s="46"/>
      <c r="H257" s="46"/>
      <c r="I257" s="46"/>
    </row>
    <row r="258" spans="1:9">
      <c r="A258" s="44"/>
      <c r="B258" s="44"/>
      <c r="C258" s="44"/>
      <c r="E258" s="46"/>
      <c r="F258" s="46"/>
      <c r="H258" s="46"/>
      <c r="I258" s="46"/>
    </row>
    <row r="259" spans="1:9">
      <c r="A259" s="44"/>
      <c r="B259" s="44"/>
      <c r="C259" s="44"/>
      <c r="E259" s="46"/>
      <c r="F259" s="46"/>
      <c r="H259" s="46"/>
      <c r="I259" s="46"/>
    </row>
    <row r="260" spans="1:9">
      <c r="A260" s="44"/>
      <c r="B260" s="44"/>
      <c r="C260" s="44"/>
      <c r="E260" s="46"/>
      <c r="F260" s="46"/>
      <c r="H260" s="46"/>
      <c r="I260" s="46"/>
    </row>
    <row r="261" spans="1:9">
      <c r="A261" s="44"/>
      <c r="B261" s="44"/>
      <c r="C261" s="44"/>
      <c r="E261" s="46"/>
      <c r="F261" s="46"/>
      <c r="H261" s="46"/>
      <c r="I261" s="46"/>
    </row>
    <row r="262" spans="1:9">
      <c r="A262" s="44"/>
      <c r="B262" s="44"/>
      <c r="C262" s="44"/>
      <c r="E262" s="46"/>
      <c r="F262" s="46"/>
      <c r="H262" s="46"/>
      <c r="I262" s="46"/>
    </row>
    <row r="263" spans="1:9">
      <c r="A263" s="44"/>
      <c r="B263" s="44"/>
      <c r="C263" s="44"/>
      <c r="E263" s="46"/>
      <c r="F263" s="46"/>
      <c r="H263" s="46"/>
      <c r="I263" s="46"/>
    </row>
    <row r="264" spans="1:9">
      <c r="A264" s="44"/>
      <c r="B264" s="44"/>
      <c r="C264" s="44"/>
      <c r="E264" s="46"/>
      <c r="F264" s="46"/>
      <c r="H264" s="46"/>
      <c r="I264" s="46"/>
    </row>
    <row r="265" spans="1:9">
      <c r="A265" s="44"/>
      <c r="B265" s="44"/>
      <c r="C265" s="44"/>
      <c r="E265" s="46"/>
      <c r="F265" s="46"/>
      <c r="H265" s="46"/>
      <c r="I265" s="46"/>
    </row>
    <row r="266" spans="1:9">
      <c r="A266" s="44"/>
      <c r="B266" s="44"/>
      <c r="C266" s="44"/>
      <c r="E266" s="46"/>
      <c r="F266" s="46"/>
      <c r="H266" s="46"/>
      <c r="I266" s="46"/>
    </row>
    <row r="267" spans="1:9">
      <c r="A267" s="44"/>
      <c r="B267" s="44"/>
      <c r="C267" s="44"/>
      <c r="E267" s="46"/>
      <c r="F267" s="46"/>
      <c r="H267" s="46"/>
      <c r="I267" s="46"/>
    </row>
    <row r="268" spans="1:9">
      <c r="A268" s="44"/>
      <c r="B268" s="44"/>
      <c r="C268" s="44"/>
      <c r="E268" s="46"/>
      <c r="F268" s="46"/>
      <c r="H268" s="46"/>
      <c r="I268" s="46"/>
    </row>
    <row r="269" spans="1:9">
      <c r="A269" s="49"/>
      <c r="B269" s="49"/>
      <c r="C269" s="49"/>
      <c r="E269" s="46"/>
      <c r="F269" s="46"/>
      <c r="H269" s="46"/>
      <c r="I269" s="46"/>
    </row>
    <row r="270" spans="1:9">
      <c r="A270" s="49"/>
      <c r="B270" s="49"/>
      <c r="C270" s="49"/>
      <c r="E270" s="46"/>
      <c r="F270" s="46"/>
      <c r="H270" s="46"/>
      <c r="I270" s="46"/>
    </row>
    <row r="271" spans="1:9">
      <c r="A271" s="49"/>
      <c r="B271" s="49"/>
      <c r="C271" s="49"/>
      <c r="E271" s="46"/>
      <c r="F271" s="46"/>
      <c r="H271" s="46"/>
      <c r="I271" s="46"/>
    </row>
    <row r="272" spans="1:9">
      <c r="A272" s="49"/>
      <c r="B272" s="49"/>
      <c r="C272" s="49"/>
      <c r="E272" s="46"/>
      <c r="F272" s="46"/>
      <c r="H272" s="46"/>
      <c r="I272" s="46"/>
    </row>
    <row r="273" spans="1:9">
      <c r="A273" s="49"/>
      <c r="B273" s="49"/>
      <c r="C273" s="49"/>
      <c r="E273" s="46"/>
      <c r="F273" s="46"/>
      <c r="H273" s="46"/>
      <c r="I273" s="46"/>
    </row>
    <row r="274" spans="1:9">
      <c r="A274" s="49"/>
      <c r="B274" s="49"/>
      <c r="C274" s="49"/>
      <c r="E274" s="46"/>
      <c r="F274" s="46"/>
      <c r="H274" s="46"/>
      <c r="I274" s="46"/>
    </row>
    <row r="275" spans="1:9">
      <c r="A275" s="49"/>
      <c r="B275" s="49"/>
      <c r="C275" s="49"/>
      <c r="E275" s="46"/>
      <c r="F275" s="46"/>
      <c r="H275" s="46"/>
      <c r="I275" s="46"/>
    </row>
    <row r="276" spans="1:9">
      <c r="A276" s="49"/>
      <c r="B276" s="49"/>
      <c r="C276" s="49"/>
      <c r="E276" s="46"/>
      <c r="F276" s="46"/>
      <c r="H276" s="46"/>
      <c r="I276" s="46"/>
    </row>
    <row r="277" spans="1:9">
      <c r="A277" s="49"/>
      <c r="B277" s="49"/>
      <c r="C277" s="49"/>
      <c r="E277" s="46"/>
      <c r="F277" s="46"/>
      <c r="H277" s="46"/>
      <c r="I277" s="46"/>
    </row>
    <row r="278" spans="1:9">
      <c r="A278" s="49"/>
      <c r="B278" s="49"/>
      <c r="C278" s="49"/>
      <c r="E278" s="46"/>
      <c r="F278" s="46"/>
      <c r="H278" s="46"/>
      <c r="I278" s="46"/>
    </row>
    <row r="279" spans="1:9">
      <c r="A279" s="49"/>
      <c r="B279" s="49"/>
      <c r="C279" s="49"/>
      <c r="E279" s="46"/>
      <c r="F279" s="46"/>
      <c r="H279" s="46"/>
      <c r="I279" s="46"/>
    </row>
    <row r="280" spans="1:9">
      <c r="A280" s="49"/>
      <c r="B280" s="49"/>
      <c r="C280" s="49"/>
      <c r="E280" s="46"/>
      <c r="F280" s="46"/>
      <c r="H280" s="46"/>
      <c r="I280" s="46"/>
    </row>
    <row r="281" spans="1:9">
      <c r="A281" s="49"/>
      <c r="B281" s="49"/>
      <c r="C281" s="49"/>
      <c r="E281" s="46"/>
      <c r="F281" s="46"/>
      <c r="H281" s="46"/>
      <c r="I281" s="46"/>
    </row>
    <row r="282" spans="1:9">
      <c r="A282" s="49"/>
      <c r="B282" s="49"/>
      <c r="C282" s="49"/>
      <c r="E282" s="46"/>
      <c r="F282" s="46"/>
      <c r="H282" s="46"/>
      <c r="I282" s="46"/>
    </row>
    <row r="283" spans="1:9">
      <c r="A283" s="49"/>
      <c r="B283" s="49"/>
      <c r="C283" s="49"/>
      <c r="E283" s="46"/>
      <c r="F283" s="46"/>
      <c r="H283" s="46"/>
      <c r="I283" s="46"/>
    </row>
    <row r="284" spans="1:9">
      <c r="A284" s="49"/>
      <c r="B284" s="49"/>
      <c r="C284" s="49"/>
      <c r="E284" s="46"/>
      <c r="F284" s="46"/>
      <c r="H284" s="46"/>
      <c r="I284" s="46"/>
    </row>
    <row r="285" spans="1:9">
      <c r="A285" s="49"/>
      <c r="B285" s="49"/>
      <c r="C285" s="49"/>
      <c r="E285" s="46"/>
      <c r="F285" s="46"/>
      <c r="H285" s="46"/>
      <c r="I285" s="46"/>
    </row>
    <row r="286" spans="1:9">
      <c r="A286" s="49"/>
      <c r="B286" s="49"/>
      <c r="C286" s="49"/>
      <c r="E286" s="46"/>
      <c r="F286" s="46"/>
      <c r="H286" s="46"/>
      <c r="I286" s="46"/>
    </row>
    <row r="287" spans="1:9">
      <c r="A287" s="49"/>
      <c r="B287" s="49"/>
      <c r="C287" s="49"/>
      <c r="E287" s="46"/>
      <c r="F287" s="46"/>
      <c r="H287" s="46"/>
      <c r="I287" s="46"/>
    </row>
    <row r="288" spans="1:9">
      <c r="A288" s="49"/>
      <c r="B288" s="49"/>
      <c r="C288" s="49"/>
      <c r="E288" s="46"/>
      <c r="F288" s="46"/>
      <c r="H288" s="46"/>
      <c r="I288" s="46"/>
    </row>
    <row r="289" spans="1:9">
      <c r="A289" s="49"/>
      <c r="B289" s="49"/>
      <c r="C289" s="49"/>
      <c r="E289" s="46"/>
      <c r="F289" s="46"/>
      <c r="H289" s="46"/>
      <c r="I289" s="46"/>
    </row>
    <row r="290" spans="1:9">
      <c r="A290" s="49"/>
      <c r="B290" s="49"/>
      <c r="C290" s="49"/>
      <c r="E290" s="46"/>
      <c r="F290" s="46"/>
      <c r="H290" s="46"/>
      <c r="I290" s="46"/>
    </row>
    <row r="291" spans="1:9">
      <c r="A291" s="49"/>
      <c r="B291" s="49"/>
      <c r="C291" s="49"/>
      <c r="E291" s="46"/>
      <c r="F291" s="46"/>
      <c r="H291" s="46"/>
      <c r="I291" s="46"/>
    </row>
    <row r="292" spans="1:9">
      <c r="A292" s="49"/>
      <c r="B292" s="49"/>
      <c r="C292" s="49"/>
      <c r="E292" s="46"/>
      <c r="F292" s="46"/>
      <c r="H292" s="46"/>
      <c r="I292" s="46"/>
    </row>
    <row r="293" spans="1:9">
      <c r="A293" s="49"/>
      <c r="B293" s="49"/>
      <c r="C293" s="49"/>
      <c r="E293" s="46"/>
      <c r="F293" s="46"/>
      <c r="H293" s="46"/>
      <c r="I293" s="46"/>
    </row>
    <row r="294" spans="1:9">
      <c r="A294" s="49"/>
      <c r="B294" s="49"/>
      <c r="C294" s="49"/>
      <c r="E294" s="46"/>
      <c r="F294" s="46"/>
      <c r="H294" s="46"/>
      <c r="I294" s="46"/>
    </row>
    <row r="295" spans="1:9">
      <c r="A295" s="49"/>
      <c r="B295" s="49"/>
      <c r="C295" s="49"/>
      <c r="E295" s="46"/>
      <c r="F295" s="46"/>
      <c r="H295" s="46"/>
      <c r="I295" s="46"/>
    </row>
    <row r="296" spans="1:9">
      <c r="A296" s="49"/>
      <c r="B296" s="49"/>
      <c r="C296" s="49"/>
      <c r="E296" s="46"/>
      <c r="F296" s="46"/>
      <c r="H296" s="46"/>
      <c r="I296" s="46"/>
    </row>
    <row r="297" spans="1:9">
      <c r="A297" s="49"/>
      <c r="B297" s="49"/>
      <c r="C297" s="49"/>
      <c r="E297" s="46"/>
      <c r="F297" s="46"/>
      <c r="H297" s="46"/>
      <c r="I297" s="46"/>
    </row>
    <row r="298" spans="1:9">
      <c r="A298" s="49"/>
      <c r="B298" s="49"/>
      <c r="C298" s="49"/>
      <c r="E298" s="46"/>
      <c r="F298" s="46"/>
      <c r="H298" s="46"/>
      <c r="I298" s="46"/>
    </row>
    <row r="299" spans="1:9">
      <c r="A299" s="49"/>
      <c r="B299" s="49"/>
      <c r="C299" s="49"/>
      <c r="E299" s="46"/>
      <c r="F299" s="46"/>
      <c r="H299" s="46"/>
      <c r="I299" s="46"/>
    </row>
    <row r="300" spans="1:9">
      <c r="A300" s="49"/>
      <c r="B300" s="49"/>
      <c r="C300" s="49"/>
      <c r="E300" s="46"/>
      <c r="F300" s="46"/>
      <c r="H300" s="46"/>
      <c r="I300" s="46"/>
    </row>
    <row r="301" spans="1:9">
      <c r="A301" s="49"/>
      <c r="B301" s="49"/>
      <c r="C301" s="49"/>
      <c r="E301" s="46"/>
      <c r="F301" s="46"/>
      <c r="H301" s="46"/>
      <c r="I301" s="46"/>
    </row>
    <row r="302" spans="1:9">
      <c r="A302" s="49"/>
      <c r="B302" s="49"/>
      <c r="C302" s="49"/>
      <c r="E302" s="46"/>
      <c r="F302" s="46"/>
      <c r="H302" s="46"/>
      <c r="I302" s="46"/>
    </row>
    <row r="303" spans="1:9">
      <c r="A303" s="49"/>
      <c r="B303" s="49"/>
      <c r="C303" s="49"/>
      <c r="E303" s="46"/>
      <c r="F303" s="46"/>
      <c r="H303" s="46"/>
      <c r="I303" s="46"/>
    </row>
    <row r="304" spans="1:9">
      <c r="A304" s="49"/>
      <c r="B304" s="49"/>
      <c r="C304" s="49"/>
      <c r="E304" s="46"/>
      <c r="F304" s="46"/>
      <c r="H304" s="46"/>
      <c r="I304" s="46"/>
    </row>
    <row r="305" spans="1:9">
      <c r="A305" s="49"/>
      <c r="B305" s="49"/>
      <c r="C305" s="49"/>
      <c r="E305" s="46"/>
      <c r="F305" s="46"/>
      <c r="H305" s="46"/>
      <c r="I305" s="46"/>
    </row>
    <row r="306" spans="1:9">
      <c r="A306" s="49"/>
      <c r="B306" s="49"/>
      <c r="C306" s="49"/>
      <c r="E306" s="46"/>
      <c r="F306" s="46"/>
      <c r="H306" s="46"/>
      <c r="I306" s="46"/>
    </row>
    <row r="307" spans="1:9">
      <c r="A307" s="49"/>
      <c r="B307" s="49"/>
      <c r="C307" s="49"/>
      <c r="E307" s="46"/>
      <c r="F307" s="46"/>
      <c r="H307" s="46"/>
      <c r="I307" s="46"/>
    </row>
    <row r="308" spans="1:9">
      <c r="A308" s="49"/>
      <c r="B308" s="49"/>
      <c r="C308" s="49"/>
      <c r="E308" s="46"/>
      <c r="F308" s="46"/>
      <c r="H308" s="46"/>
      <c r="I308" s="46"/>
    </row>
    <row r="309" spans="1:9">
      <c r="A309" s="49"/>
      <c r="B309" s="49"/>
      <c r="C309" s="49"/>
      <c r="E309" s="46"/>
      <c r="F309" s="46"/>
      <c r="H309" s="46"/>
      <c r="I309" s="46"/>
    </row>
    <row r="310" spans="1:9">
      <c r="A310" s="49"/>
      <c r="B310" s="49"/>
      <c r="C310" s="49"/>
      <c r="E310" s="46"/>
      <c r="F310" s="46"/>
      <c r="H310" s="46"/>
      <c r="I310" s="46"/>
    </row>
    <row r="311" spans="1:9">
      <c r="A311" s="49"/>
      <c r="B311" s="49"/>
      <c r="C311" s="49"/>
      <c r="E311" s="46"/>
      <c r="F311" s="46"/>
      <c r="H311" s="46"/>
      <c r="I311" s="46"/>
    </row>
    <row r="312" spans="1:9">
      <c r="A312" s="49"/>
      <c r="B312" s="49"/>
      <c r="C312" s="49"/>
      <c r="E312" s="46"/>
      <c r="F312" s="46"/>
      <c r="H312" s="46"/>
      <c r="I312" s="46"/>
    </row>
    <row r="313" spans="1:9">
      <c r="A313" s="49"/>
      <c r="B313" s="49"/>
      <c r="C313" s="49"/>
      <c r="E313" s="46"/>
      <c r="F313" s="46"/>
      <c r="H313" s="46"/>
      <c r="I313" s="46"/>
    </row>
    <row r="314" spans="1:9">
      <c r="A314" s="49"/>
      <c r="B314" s="49"/>
      <c r="C314" s="49"/>
      <c r="E314" s="46"/>
      <c r="F314" s="46"/>
      <c r="H314" s="46"/>
      <c r="I314" s="46"/>
    </row>
    <row r="315" spans="1:9">
      <c r="A315" s="49"/>
      <c r="B315" s="49"/>
      <c r="C315" s="49"/>
      <c r="E315" s="46"/>
      <c r="F315" s="46"/>
      <c r="H315" s="46"/>
      <c r="I315" s="46"/>
    </row>
    <row r="316" spans="1:9">
      <c r="A316" s="49"/>
      <c r="B316" s="49"/>
      <c r="C316" s="49"/>
      <c r="E316" s="46"/>
      <c r="F316" s="46"/>
      <c r="H316" s="46"/>
      <c r="I316" s="46"/>
    </row>
    <row r="317" spans="1:9">
      <c r="A317" s="49"/>
      <c r="B317" s="49"/>
      <c r="C317" s="49"/>
      <c r="E317" s="46"/>
      <c r="F317" s="46"/>
      <c r="H317" s="46"/>
      <c r="I317" s="46"/>
    </row>
    <row r="318" spans="1:9">
      <c r="A318" s="49"/>
      <c r="B318" s="49"/>
      <c r="C318" s="49"/>
      <c r="E318" s="46"/>
      <c r="F318" s="46"/>
      <c r="H318" s="46"/>
      <c r="I318" s="46"/>
    </row>
    <row r="319" spans="1:9">
      <c r="A319" s="49"/>
      <c r="B319" s="49"/>
      <c r="C319" s="49"/>
      <c r="E319" s="46"/>
      <c r="F319" s="46"/>
      <c r="H319" s="46"/>
      <c r="I319" s="46"/>
    </row>
    <row r="320" spans="1:9">
      <c r="A320" s="49"/>
      <c r="B320" s="49"/>
      <c r="C320" s="49"/>
      <c r="E320" s="46"/>
      <c r="F320" s="46"/>
      <c r="H320" s="46"/>
      <c r="I320" s="46"/>
    </row>
    <row r="321" spans="1:9">
      <c r="A321" s="49"/>
      <c r="B321" s="49"/>
      <c r="C321" s="49"/>
      <c r="E321" s="46"/>
      <c r="F321" s="46"/>
      <c r="H321" s="46"/>
      <c r="I321" s="46"/>
    </row>
    <row r="322" spans="1:9">
      <c r="A322" s="49"/>
      <c r="B322" s="49"/>
      <c r="C322" s="49"/>
      <c r="E322" s="46"/>
      <c r="F322" s="46"/>
      <c r="H322" s="46"/>
      <c r="I322" s="46"/>
    </row>
    <row r="323" spans="1:9">
      <c r="A323" s="49"/>
      <c r="B323" s="49"/>
      <c r="C323" s="49"/>
      <c r="E323" s="46"/>
      <c r="F323" s="46"/>
      <c r="H323" s="46"/>
      <c r="I323" s="46"/>
    </row>
    <row r="324" spans="1:9">
      <c r="A324" s="49"/>
      <c r="B324" s="49"/>
      <c r="C324" s="49"/>
      <c r="E324" s="46"/>
      <c r="F324" s="46"/>
      <c r="H324" s="46"/>
      <c r="I324" s="46"/>
    </row>
    <row r="325" spans="1:9">
      <c r="A325" s="49"/>
      <c r="B325" s="49"/>
      <c r="C325" s="49"/>
      <c r="E325" s="46"/>
      <c r="F325" s="46"/>
      <c r="H325" s="46"/>
      <c r="I325" s="46"/>
    </row>
    <row r="326" spans="1:9">
      <c r="A326" s="49"/>
      <c r="B326" s="49"/>
      <c r="C326" s="49"/>
      <c r="E326" s="46"/>
      <c r="F326" s="46"/>
      <c r="H326" s="46"/>
      <c r="I326" s="46"/>
    </row>
    <row r="327" spans="1:9">
      <c r="A327" s="49"/>
      <c r="B327" s="49"/>
      <c r="C327" s="49"/>
      <c r="E327" s="46"/>
      <c r="F327" s="46"/>
      <c r="H327" s="46"/>
      <c r="I327" s="46"/>
    </row>
    <row r="328" spans="1:9">
      <c r="A328" s="49"/>
      <c r="B328" s="49"/>
      <c r="C328" s="49"/>
      <c r="E328" s="46"/>
      <c r="F328" s="46"/>
      <c r="H328" s="46"/>
      <c r="I328" s="46"/>
    </row>
    <row r="329" spans="1:9">
      <c r="A329" s="49"/>
      <c r="B329" s="49"/>
      <c r="C329" s="49"/>
      <c r="E329" s="46"/>
      <c r="F329" s="46"/>
      <c r="H329" s="46"/>
      <c r="I329" s="46"/>
    </row>
    <row r="330" spans="1:9">
      <c r="A330" s="49"/>
      <c r="B330" s="49"/>
      <c r="C330" s="49"/>
      <c r="E330" s="46"/>
      <c r="F330" s="46"/>
      <c r="H330" s="46"/>
      <c r="I330" s="46"/>
    </row>
    <row r="331" spans="1:9">
      <c r="A331" s="49"/>
      <c r="B331" s="49"/>
      <c r="C331" s="49"/>
      <c r="E331" s="46"/>
      <c r="F331" s="46"/>
      <c r="H331" s="46"/>
      <c r="I331" s="46"/>
    </row>
    <row r="332" spans="1:9">
      <c r="A332" s="49"/>
      <c r="B332" s="49"/>
      <c r="C332" s="49"/>
      <c r="E332" s="46"/>
      <c r="F332" s="46"/>
      <c r="H332" s="46"/>
      <c r="I332" s="46"/>
    </row>
    <row r="333" spans="1:9">
      <c r="A333" s="49"/>
      <c r="B333" s="49"/>
      <c r="C333" s="49"/>
      <c r="E333" s="46"/>
      <c r="F333" s="46"/>
      <c r="H333" s="46"/>
      <c r="I333" s="46"/>
    </row>
    <row r="334" spans="1:9">
      <c r="A334" s="49"/>
      <c r="B334" s="49"/>
      <c r="C334" s="49"/>
      <c r="E334" s="46"/>
      <c r="F334" s="46"/>
      <c r="H334" s="46"/>
      <c r="I334" s="46"/>
    </row>
    <row r="335" spans="1:9">
      <c r="A335" s="49"/>
      <c r="B335" s="49"/>
      <c r="C335" s="49"/>
      <c r="E335" s="46"/>
      <c r="F335" s="46"/>
      <c r="H335" s="46"/>
      <c r="I335" s="46"/>
    </row>
    <row r="336" spans="1:9">
      <c r="A336" s="49"/>
      <c r="B336" s="49"/>
      <c r="C336" s="49"/>
      <c r="E336" s="46"/>
      <c r="F336" s="46"/>
      <c r="H336" s="46"/>
      <c r="I336" s="46"/>
    </row>
    <row r="337" spans="1:9">
      <c r="A337" s="49"/>
      <c r="B337" s="49"/>
      <c r="C337" s="49"/>
      <c r="E337" s="46"/>
      <c r="F337" s="46"/>
      <c r="H337" s="46"/>
      <c r="I337" s="46"/>
    </row>
    <row r="338" spans="1:9">
      <c r="A338" s="49"/>
      <c r="B338" s="49"/>
      <c r="C338" s="49"/>
      <c r="E338" s="46"/>
      <c r="F338" s="46"/>
      <c r="H338" s="46"/>
      <c r="I338" s="46"/>
    </row>
    <row r="339" spans="1:9">
      <c r="A339" s="49"/>
      <c r="B339" s="49"/>
      <c r="C339" s="49"/>
      <c r="E339" s="46"/>
      <c r="F339" s="46"/>
      <c r="H339" s="46"/>
      <c r="I339" s="46"/>
    </row>
    <row r="340" spans="1:9">
      <c r="A340" s="49"/>
      <c r="B340" s="49"/>
      <c r="C340" s="49"/>
      <c r="E340" s="46"/>
      <c r="F340" s="46"/>
      <c r="H340" s="46"/>
      <c r="I340" s="46"/>
    </row>
    <row r="341" spans="1:9">
      <c r="A341" s="49"/>
      <c r="B341" s="49"/>
      <c r="C341" s="49"/>
      <c r="E341" s="46"/>
      <c r="F341" s="46"/>
      <c r="H341" s="46"/>
      <c r="I341" s="46"/>
    </row>
    <row r="342" spans="1:9">
      <c r="A342" s="49"/>
      <c r="B342" s="49"/>
      <c r="C342" s="49"/>
      <c r="E342" s="46"/>
      <c r="F342" s="46"/>
      <c r="H342" s="46"/>
      <c r="I342" s="46"/>
    </row>
    <row r="343" spans="1:9">
      <c r="A343" s="49"/>
      <c r="B343" s="49"/>
      <c r="C343" s="49"/>
      <c r="E343" s="46"/>
      <c r="F343" s="46"/>
      <c r="H343" s="46"/>
      <c r="I343" s="46"/>
    </row>
    <row r="344" spans="1:9">
      <c r="A344" s="49"/>
      <c r="B344" s="49"/>
      <c r="C344" s="49"/>
      <c r="E344" s="46"/>
      <c r="F344" s="46"/>
      <c r="H344" s="46"/>
      <c r="I344" s="46"/>
    </row>
    <row r="345" spans="1:9">
      <c r="A345" s="49"/>
      <c r="B345" s="49"/>
      <c r="C345" s="49"/>
      <c r="E345" s="46"/>
      <c r="F345" s="46"/>
      <c r="H345" s="46"/>
      <c r="I345" s="46"/>
    </row>
    <row r="346" spans="1:9">
      <c r="A346" s="49"/>
      <c r="B346" s="49"/>
      <c r="C346" s="49"/>
    </row>
    <row r="347" spans="1:9">
      <c r="A347" s="49"/>
      <c r="B347" s="49"/>
      <c r="C347" s="49"/>
    </row>
    <row r="348" spans="1:9">
      <c r="A348" s="49"/>
      <c r="B348" s="49"/>
      <c r="C348" s="49"/>
    </row>
    <row r="349" spans="1:9">
      <c r="A349" s="49"/>
      <c r="B349" s="49"/>
      <c r="C349" s="49"/>
    </row>
    <row r="350" spans="1:9">
      <c r="A350" s="49"/>
      <c r="B350" s="49"/>
      <c r="C350" s="49"/>
    </row>
    <row r="351" spans="1:9">
      <c r="A351" s="49"/>
      <c r="B351" s="49"/>
      <c r="C351" s="49"/>
    </row>
    <row r="352" spans="1:9">
      <c r="A352" s="49"/>
      <c r="B352" s="49"/>
      <c r="C352" s="49"/>
    </row>
    <row r="353" spans="1:3">
      <c r="A353" s="49"/>
      <c r="B353" s="49"/>
      <c r="C353" s="49"/>
    </row>
    <row r="354" spans="1:3">
      <c r="A354" s="49"/>
      <c r="B354" s="49"/>
      <c r="C354" s="49"/>
    </row>
    <row r="355" spans="1:3">
      <c r="A355" s="49"/>
      <c r="B355" s="49"/>
      <c r="C355" s="49"/>
    </row>
    <row r="356" spans="1:3">
      <c r="A356" s="49"/>
      <c r="B356" s="49"/>
      <c r="C356" s="49"/>
    </row>
    <row r="357" spans="1:3">
      <c r="A357" s="49"/>
      <c r="B357" s="49"/>
      <c r="C357" s="49"/>
    </row>
    <row r="358" spans="1:3">
      <c r="A358" s="49"/>
      <c r="B358" s="49"/>
      <c r="C358" s="49"/>
    </row>
    <row r="359" spans="1:3">
      <c r="A359" s="49"/>
      <c r="B359" s="49"/>
      <c r="C359" s="49"/>
    </row>
    <row r="360" spans="1:3">
      <c r="A360" s="49"/>
      <c r="B360" s="49"/>
      <c r="C360" s="49"/>
    </row>
    <row r="361" spans="1:3">
      <c r="A361" s="49"/>
      <c r="B361" s="49"/>
      <c r="C361" s="49"/>
    </row>
    <row r="362" spans="1:3">
      <c r="A362" s="49"/>
      <c r="B362" s="49"/>
      <c r="C362" s="49"/>
    </row>
    <row r="363" spans="1:3">
      <c r="A363" s="49"/>
      <c r="B363" s="49"/>
      <c r="C363" s="49"/>
    </row>
    <row r="364" spans="1:3">
      <c r="A364" s="49"/>
      <c r="B364" s="49"/>
      <c r="C364" s="49"/>
    </row>
    <row r="365" spans="1:3">
      <c r="A365" s="49"/>
      <c r="B365" s="49"/>
      <c r="C365" s="49"/>
    </row>
    <row r="366" spans="1:3">
      <c r="A366" s="49"/>
      <c r="B366" s="49"/>
      <c r="C366" s="49"/>
    </row>
    <row r="367" spans="1:3">
      <c r="A367" s="49"/>
      <c r="B367" s="49"/>
      <c r="C367" s="49"/>
    </row>
    <row r="368" spans="1:3">
      <c r="A368" s="49"/>
      <c r="B368" s="49"/>
      <c r="C368" s="49"/>
    </row>
    <row r="369" spans="1:3">
      <c r="A369" s="49"/>
      <c r="B369" s="49"/>
      <c r="C369" s="49"/>
    </row>
    <row r="370" spans="1:3">
      <c r="A370" s="49"/>
      <c r="B370" s="49"/>
      <c r="C370" s="49"/>
    </row>
    <row r="371" spans="1:3">
      <c r="A371" s="49"/>
      <c r="B371" s="49"/>
      <c r="C371" s="49"/>
    </row>
    <row r="372" spans="1:3">
      <c r="A372" s="49"/>
      <c r="B372" s="49"/>
      <c r="C372" s="49"/>
    </row>
    <row r="373" spans="1:3">
      <c r="A373" s="49"/>
      <c r="B373" s="49"/>
      <c r="C373" s="49"/>
    </row>
    <row r="374" spans="1:3">
      <c r="A374" s="49"/>
      <c r="B374" s="49"/>
      <c r="C374" s="49"/>
    </row>
    <row r="375" spans="1:3">
      <c r="A375" s="49"/>
      <c r="B375" s="49"/>
      <c r="C375" s="49"/>
    </row>
    <row r="376" spans="1:3">
      <c r="A376" s="49"/>
      <c r="B376" s="49"/>
      <c r="C376" s="49"/>
    </row>
    <row r="377" spans="1:3">
      <c r="A377" s="49"/>
      <c r="B377" s="49"/>
      <c r="C377" s="49"/>
    </row>
    <row r="378" spans="1:3">
      <c r="A378" s="49"/>
      <c r="B378" s="49"/>
      <c r="C378" s="49"/>
    </row>
    <row r="379" spans="1:3">
      <c r="A379" s="49"/>
      <c r="B379" s="49"/>
      <c r="C379" s="49"/>
    </row>
    <row r="380" spans="1:3">
      <c r="A380" s="49"/>
      <c r="B380" s="49"/>
      <c r="C380" s="49"/>
    </row>
    <row r="381" spans="1:3">
      <c r="A381" s="49"/>
      <c r="B381" s="49"/>
      <c r="C381" s="49"/>
    </row>
    <row r="382" spans="1:3">
      <c r="A382" s="49"/>
      <c r="B382" s="49"/>
      <c r="C382" s="49"/>
    </row>
    <row r="383" spans="1:3">
      <c r="A383" s="50"/>
      <c r="B383" s="50"/>
      <c r="C383" s="50"/>
    </row>
    <row r="384" spans="1:3">
      <c r="A384" s="10"/>
      <c r="B384" s="10"/>
      <c r="C384" s="10"/>
    </row>
  </sheetData>
  <sortState xmlns:xlrd2="http://schemas.microsoft.com/office/spreadsheetml/2017/richdata2" ref="A2:A1048571">
    <sortCondition ref="A2:A1048571"/>
  </sortState>
  <hyperlinks>
    <hyperlink ref="B1" r:id="rId1" display="Adj Close - Apple" xr:uid="{F25D607E-96AD-447E-A193-FD193FA6EF6A}"/>
    <hyperlink ref="C1" r:id="rId2" display="Adj Close - Pandora" xr:uid="{BC3562F7-13AD-4813-A497-1106B033CCB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6454A-D0B6-48EB-8441-DFF4A6D860C1}">
  <dimension ref="A1:K383"/>
  <sheetViews>
    <sheetView workbookViewId="0">
      <selection activeCell="I14" sqref="I14"/>
    </sheetView>
  </sheetViews>
  <sheetFormatPr defaultRowHeight="15.75"/>
  <cols>
    <col min="1" max="1" width="12.140625" style="2" customWidth="1"/>
    <col min="2" max="2" width="13.5703125" style="2" customWidth="1"/>
    <col min="3" max="3" width="15.5703125" style="4" customWidth="1"/>
    <col min="4" max="5" width="9.140625" style="2"/>
    <col min="6" max="6" width="34.7109375" style="12" customWidth="1"/>
    <col min="7" max="7" width="16.85546875" style="25" customWidth="1"/>
    <col min="8" max="8" width="16.85546875" style="32" customWidth="1"/>
    <col min="9" max="9" width="26.140625" style="2" bestFit="1" customWidth="1"/>
    <col min="10" max="16384" width="9.140625" style="2"/>
  </cols>
  <sheetData>
    <row r="1" spans="1:11" ht="18.75">
      <c r="A1" s="8" t="s">
        <v>0</v>
      </c>
      <c r="B1" s="9" t="s">
        <v>6</v>
      </c>
      <c r="C1" s="9" t="s">
        <v>7</v>
      </c>
      <c r="F1" s="53" t="s">
        <v>9</v>
      </c>
      <c r="G1" s="53"/>
      <c r="H1" s="53"/>
    </row>
    <row r="2" spans="1:11">
      <c r="A2" s="3">
        <v>45727</v>
      </c>
      <c r="B2" s="4">
        <v>3.6555333230721436E-3</v>
      </c>
      <c r="C2" s="4">
        <v>-1.4388489208633094E-2</v>
      </c>
      <c r="E2" s="12"/>
      <c r="H2" s="25"/>
      <c r="I2" s="12"/>
    </row>
    <row r="3" spans="1:11">
      <c r="A3" s="3">
        <v>45728</v>
      </c>
      <c r="B3" s="4">
        <v>9.3995183717859709E-3</v>
      </c>
      <c r="C3" s="4">
        <v>-1.4384116693679137E-2</v>
      </c>
      <c r="E3" s="12"/>
      <c r="F3" s="18"/>
      <c r="G3" s="26" t="s">
        <v>10</v>
      </c>
      <c r="H3" s="33" t="s">
        <v>11</v>
      </c>
      <c r="I3" s="12"/>
    </row>
    <row r="4" spans="1:11">
      <c r="A4" s="3">
        <v>45729</v>
      </c>
      <c r="B4" s="4">
        <v>-1.0872488378347384E-2</v>
      </c>
      <c r="C4" s="4">
        <v>-9.4320690347180179E-3</v>
      </c>
      <c r="E4" s="12"/>
      <c r="F4" s="19" t="s">
        <v>12</v>
      </c>
      <c r="G4" s="27">
        <f>MAX(B2:B246)</f>
        <v>0.15331741131240184</v>
      </c>
      <c r="H4" s="27">
        <f>MAX(C2:C246)</f>
        <v>9.1552062868369394E-2</v>
      </c>
      <c r="I4" s="12"/>
    </row>
    <row r="5" spans="1:11">
      <c r="A5" s="3">
        <v>45729</v>
      </c>
      <c r="B5" s="4">
        <v>-8.4945908883131242E-3</v>
      </c>
      <c r="C5" s="4">
        <v>2.6364572605561302E-2</v>
      </c>
      <c r="E5" s="12"/>
      <c r="F5" s="20" t="s">
        <v>13</v>
      </c>
      <c r="G5" s="27">
        <f>MIN(B2:B246)</f>
        <v>-9.2454692266283806E-2</v>
      </c>
      <c r="H5" s="27">
        <f>MIN(C2:C246)</f>
        <v>-0.18396135265700481</v>
      </c>
      <c r="I5" s="12"/>
    </row>
    <row r="6" spans="1:11">
      <c r="A6" s="3">
        <v>45730</v>
      </c>
      <c r="B6" s="4">
        <v>-4.6635071090048085E-3</v>
      </c>
      <c r="C6" s="4">
        <v>5.5923777961888743E-3</v>
      </c>
      <c r="E6" s="12"/>
      <c r="F6" s="20" t="s">
        <v>14</v>
      </c>
      <c r="G6" s="28">
        <f>G4-G5</f>
        <v>0.24577210357868565</v>
      </c>
      <c r="H6" s="28">
        <f>H4-H5</f>
        <v>0.27551341552537423</v>
      </c>
      <c r="I6" s="12"/>
    </row>
    <row r="7" spans="1:11">
      <c r="A7" s="3">
        <v>45733</v>
      </c>
      <c r="B7" s="4">
        <v>-3.6642490178302629E-3</v>
      </c>
      <c r="C7" s="4">
        <v>-6.9930069930069462E-3</v>
      </c>
      <c r="E7" s="12"/>
      <c r="F7" s="13"/>
      <c r="H7" s="25"/>
      <c r="I7" s="14"/>
      <c r="J7" s="10"/>
      <c r="K7" s="10"/>
    </row>
    <row r="8" spans="1:11">
      <c r="A8" s="3">
        <v>45734</v>
      </c>
      <c r="B8" s="4">
        <v>2.0440608675903566E-3</v>
      </c>
      <c r="C8" s="4">
        <v>-2.7600000000000024E-2</v>
      </c>
      <c r="E8" s="12"/>
      <c r="H8" s="54"/>
      <c r="I8" s="14"/>
      <c r="J8" s="10"/>
      <c r="K8" s="10"/>
    </row>
    <row r="9" spans="1:11">
      <c r="A9" s="3">
        <v>45735</v>
      </c>
      <c r="B9" s="4">
        <v>-3.2130426818098488E-2</v>
      </c>
      <c r="C9" s="4">
        <v>-3.1383184812088426E-2</v>
      </c>
      <c r="E9" s="12"/>
      <c r="F9" s="17"/>
      <c r="G9" s="26" t="s">
        <v>10</v>
      </c>
      <c r="H9" s="33" t="s">
        <v>11</v>
      </c>
      <c r="I9" s="15"/>
      <c r="J9" s="11"/>
      <c r="K9" s="10"/>
    </row>
    <row r="10" spans="1:11">
      <c r="A10" s="3">
        <v>45736</v>
      </c>
      <c r="B10" s="4">
        <v>-4.6676147759181323E-3</v>
      </c>
      <c r="C10" s="4">
        <v>3.1574740207833872E-2</v>
      </c>
      <c r="E10" s="12"/>
      <c r="F10" s="21" t="s">
        <v>15</v>
      </c>
      <c r="G10" s="27">
        <f>QUARTILE(B2:B251,3)</f>
        <v>6.2780935398788875E-3</v>
      </c>
      <c r="H10" s="34">
        <f>QUARTILE(C2:C251,3)</f>
        <v>1.0587102983638113E-2</v>
      </c>
      <c r="I10" s="15"/>
      <c r="J10" s="11"/>
      <c r="K10" s="10"/>
    </row>
    <row r="11" spans="1:11">
      <c r="A11" s="3">
        <v>45737</v>
      </c>
      <c r="B11" s="4">
        <v>7.679870654810142E-3</v>
      </c>
      <c r="C11" s="4">
        <v>-4.8669201520912593E-2</v>
      </c>
      <c r="E11" s="12"/>
      <c r="F11" s="22" t="s">
        <v>16</v>
      </c>
      <c r="G11" s="35">
        <f>QUARTILE(B2:B251,1)</f>
        <v>-6.4165264681717389E-3</v>
      </c>
      <c r="H11" s="30">
        <f>QUARTILE(C2:C251,1)</f>
        <v>-1.6025641025641024E-2</v>
      </c>
      <c r="I11" s="16"/>
      <c r="J11" s="1"/>
      <c r="K11" s="10"/>
    </row>
    <row r="12" spans="1:11">
      <c r="A12" s="3">
        <v>45740</v>
      </c>
      <c r="B12" s="4">
        <v>2.2390863325569086E-2</v>
      </c>
      <c r="C12" s="4">
        <v>1.2317167051578093E-2</v>
      </c>
      <c r="E12" s="12"/>
      <c r="F12" s="23" t="s">
        <v>17</v>
      </c>
      <c r="G12" s="31">
        <f>G10-G11</f>
        <v>1.2694620008050626E-2</v>
      </c>
      <c r="H12" s="31">
        <f>H10-H11</f>
        <v>2.6612744009279137E-2</v>
      </c>
      <c r="I12" s="14"/>
      <c r="J12" s="10"/>
      <c r="K12" s="10"/>
    </row>
    <row r="13" spans="1:11">
      <c r="A13" s="3">
        <v>45741</v>
      </c>
      <c r="B13" s="4">
        <v>6.0473202812004797E-3</v>
      </c>
      <c r="C13" s="4">
        <v>-5.0785531603945847E-2</v>
      </c>
      <c r="E13" s="12"/>
      <c r="H13" s="54"/>
      <c r="I13" s="14"/>
      <c r="J13" s="10"/>
      <c r="K13" s="10"/>
    </row>
    <row r="14" spans="1:11">
      <c r="A14" s="3">
        <v>45742</v>
      </c>
      <c r="B14" s="4">
        <v>1.5350372246526979E-2</v>
      </c>
      <c r="C14" s="4">
        <v>4.0684410646387788E-2</v>
      </c>
      <c r="E14" s="12"/>
      <c r="H14" s="54"/>
      <c r="I14" s="14"/>
    </row>
    <row r="15" spans="1:11">
      <c r="A15" s="3">
        <v>45743</v>
      </c>
      <c r="B15" s="4">
        <v>-1.426139587667879E-2</v>
      </c>
      <c r="C15" s="4">
        <v>-1.7189835575485882E-2</v>
      </c>
      <c r="E15" s="12"/>
      <c r="F15" s="18"/>
      <c r="G15" s="26" t="s">
        <v>10</v>
      </c>
      <c r="H15" s="33" t="s">
        <v>11</v>
      </c>
      <c r="I15" s="12"/>
    </row>
    <row r="16" spans="1:11">
      <c r="A16" s="3">
        <v>45744</v>
      </c>
      <c r="B16" s="4">
        <v>1.7811126269517482E-3</v>
      </c>
      <c r="C16" s="4">
        <v>0</v>
      </c>
      <c r="E16" s="12"/>
      <c r="F16" s="19" t="s">
        <v>18</v>
      </c>
      <c r="G16" s="27">
        <f>AVERAGE(B2:B246)</f>
        <v>8.1039948127760626E-4</v>
      </c>
      <c r="H16" s="27">
        <f>AVERAGE(C2:C246)</f>
        <v>-3.1230704763416817E-3</v>
      </c>
      <c r="I16" s="12"/>
    </row>
    <row r="17" spans="1:9">
      <c r="A17" s="3">
        <v>45747</v>
      </c>
      <c r="B17" s="4">
        <v>3.1667839549612928E-2</v>
      </c>
      <c r="C17" s="4">
        <v>-6.6815144766145312E-3</v>
      </c>
      <c r="E17" s="12"/>
      <c r="F17" s="20" t="s">
        <v>19</v>
      </c>
      <c r="G17" s="27">
        <f>AVEDEV(B2:B246)</f>
        <v>1.2036408921615135E-2</v>
      </c>
      <c r="H17" s="27">
        <f>AVEDEV(C2:C246)</f>
        <v>1.8547957050297853E-2</v>
      </c>
      <c r="I17" s="12"/>
    </row>
    <row r="18" spans="1:9">
      <c r="A18" s="3">
        <v>45748</v>
      </c>
      <c r="B18" s="4">
        <v>-2.2733351163412741E-2</v>
      </c>
      <c r="C18" s="4">
        <v>-1.8525379770285293E-3</v>
      </c>
      <c r="F18" s="24" t="s">
        <v>20</v>
      </c>
      <c r="G18" s="27">
        <f>_xlfn.VAR.S(B2:B246)</f>
        <v>4.0102130492023944E-4</v>
      </c>
      <c r="H18" s="55">
        <f>_xlfn.VAR.S(C2:C246)</f>
        <v>7.8594398479337314E-4</v>
      </c>
    </row>
    <row r="19" spans="1:9">
      <c r="A19" s="3">
        <v>45749</v>
      </c>
      <c r="B19" s="4">
        <v>-4.9981851179673256E-2</v>
      </c>
      <c r="C19" s="4">
        <v>5.9634737234437784E-3</v>
      </c>
      <c r="F19" s="20" t="s">
        <v>21</v>
      </c>
      <c r="G19" s="27">
        <f>_xlfn.STDEV.S(B2:B246)</f>
        <v>2.0025516345908274E-2</v>
      </c>
      <c r="H19" s="55">
        <f>_xlfn.STDEV.S(C2:C246)</f>
        <v>2.8034692521826828E-2</v>
      </c>
    </row>
    <row r="20" spans="1:9">
      <c r="A20" s="3">
        <v>45750</v>
      </c>
      <c r="B20" s="4">
        <v>6.6501023092662712E-3</v>
      </c>
      <c r="C20" s="4">
        <v>4.1167664670659536E-3</v>
      </c>
      <c r="G20" s="29"/>
      <c r="H20" s="56"/>
    </row>
    <row r="21" spans="1:9">
      <c r="A21" s="3">
        <v>45751</v>
      </c>
      <c r="B21" s="4">
        <v>0</v>
      </c>
      <c r="C21" s="4">
        <v>-3.8156947444204545E-2</v>
      </c>
      <c r="H21" s="54"/>
    </row>
    <row r="22" spans="1:9">
      <c r="A22" s="3">
        <v>45755</v>
      </c>
      <c r="B22" s="4">
        <v>-1.1660548477650648E-2</v>
      </c>
      <c r="C22" s="4">
        <v>-5.8596491228070133E-2</v>
      </c>
      <c r="H22" s="54"/>
    </row>
    <row r="23" spans="1:9">
      <c r="A23" s="3">
        <v>45756</v>
      </c>
      <c r="B23" s="4">
        <v>8.0174133865410363E-3</v>
      </c>
      <c r="C23" s="4">
        <v>5.3215077605321418E-2</v>
      </c>
      <c r="H23" s="54"/>
    </row>
    <row r="24" spans="1:9">
      <c r="A24" s="3">
        <v>45757</v>
      </c>
      <c r="B24" s="4">
        <v>-2.0996995257576687E-3</v>
      </c>
      <c r="C24" s="4">
        <v>5.5793991416309058E-2</v>
      </c>
      <c r="H24" s="54"/>
    </row>
    <row r="25" spans="1:9">
      <c r="A25" s="3">
        <v>45758</v>
      </c>
      <c r="B25" s="4">
        <v>2.600007428592653E-2</v>
      </c>
      <c r="C25" s="4">
        <v>1.6660055533518514E-2</v>
      </c>
      <c r="H25" s="54"/>
    </row>
    <row r="26" spans="1:9">
      <c r="A26" s="3">
        <v>45761</v>
      </c>
      <c r="B26" s="4">
        <v>-1.9647093712929003E-3</v>
      </c>
      <c r="C26" s="4">
        <v>-9.2512598992080697E-2</v>
      </c>
      <c r="H26" s="54"/>
    </row>
    <row r="27" spans="1:9">
      <c r="A27" s="3">
        <v>45762</v>
      </c>
      <c r="B27" s="4">
        <v>4.0580157383119819E-2</v>
      </c>
      <c r="C27" s="4">
        <v>9.1552062868369394E-2</v>
      </c>
      <c r="H27" s="54"/>
    </row>
    <row r="28" spans="1:9">
      <c r="A28" s="3">
        <v>45763</v>
      </c>
      <c r="B28" s="4">
        <v>4.6504417919701925E-3</v>
      </c>
      <c r="C28" s="4">
        <v>4.9484536082474224E-2</v>
      </c>
      <c r="H28" s="54"/>
    </row>
    <row r="29" spans="1:9">
      <c r="A29" s="3">
        <v>45769</v>
      </c>
      <c r="B29" s="4">
        <v>7.1818891491023888E-3</v>
      </c>
      <c r="C29" s="4">
        <v>-4.1067761806981521E-3</v>
      </c>
      <c r="H29" s="54"/>
    </row>
    <row r="30" spans="1:9">
      <c r="A30" s="3">
        <v>45770</v>
      </c>
      <c r="B30" s="4">
        <v>-7.0921985815602228E-3</v>
      </c>
      <c r="C30" s="4">
        <v>-1.3171225937183385E-2</v>
      </c>
      <c r="H30" s="54"/>
    </row>
    <row r="31" spans="1:9">
      <c r="A31" s="3">
        <v>45771</v>
      </c>
      <c r="B31" s="4">
        <v>1.1208214131755243E-2</v>
      </c>
      <c r="C31" s="4">
        <v>1.3347022587268994E-2</v>
      </c>
      <c r="H31" s="54"/>
    </row>
    <row r="32" spans="1:9">
      <c r="A32" s="3">
        <v>45772</v>
      </c>
      <c r="B32" s="4">
        <v>2.9700173520035452E-2</v>
      </c>
      <c r="C32" s="4">
        <v>-3.5643564356435641E-2</v>
      </c>
      <c r="H32" s="54"/>
    </row>
    <row r="33" spans="1:3">
      <c r="A33" s="3">
        <v>45775</v>
      </c>
      <c r="B33" s="4">
        <v>-1.2493954538126805E-3</v>
      </c>
      <c r="C33" s="4">
        <v>-9.4154570419772675E-3</v>
      </c>
    </row>
    <row r="34" spans="1:3">
      <c r="A34" s="3">
        <v>45776</v>
      </c>
      <c r="B34" s="4">
        <v>2.829197316304329E-3</v>
      </c>
      <c r="C34" s="4">
        <v>-1.4688828759180452E-2</v>
      </c>
    </row>
    <row r="35" spans="1:3">
      <c r="A35" s="3">
        <v>45777</v>
      </c>
      <c r="B35" s="4">
        <v>3.8544244735667166E-3</v>
      </c>
      <c r="C35" s="4">
        <v>3.1019775106630922E-3</v>
      </c>
    </row>
    <row r="36" spans="1:3">
      <c r="A36" s="3">
        <v>45778</v>
      </c>
      <c r="B36" s="4">
        <v>-3.4548944337811874E-2</v>
      </c>
      <c r="C36" s="4">
        <v>-7.3133179368746496E-3</v>
      </c>
    </row>
    <row r="37" spans="1:3">
      <c r="A37" s="3">
        <v>45779</v>
      </c>
      <c r="B37" s="4">
        <v>-1.0388804899794685E-2</v>
      </c>
      <c r="C37" s="4">
        <v>-5.527272727272723E-2</v>
      </c>
    </row>
    <row r="38" spans="1:3">
      <c r="A38" s="3">
        <v>45782</v>
      </c>
      <c r="B38" s="4">
        <v>-6.7380255659941464E-3</v>
      </c>
      <c r="C38" s="4">
        <v>7.6951264199341257E-3</v>
      </c>
    </row>
    <row r="39" spans="1:3">
      <c r="A39" s="3">
        <v>45783</v>
      </c>
      <c r="B39" s="4">
        <v>-4.1792876040028177E-3</v>
      </c>
      <c r="C39" s="4">
        <v>-1.7638588912887092E-2</v>
      </c>
    </row>
    <row r="40" spans="1:3">
      <c r="A40" s="3">
        <v>45784</v>
      </c>
      <c r="B40" s="4">
        <v>3.0768047382793407E-3</v>
      </c>
      <c r="C40" s="4">
        <v>-2.8671328671328631E-2</v>
      </c>
    </row>
    <row r="41" spans="1:3">
      <c r="A41" s="3">
        <v>45785</v>
      </c>
      <c r="B41" s="4">
        <v>3.3959788523134932E-3</v>
      </c>
      <c r="C41" s="4">
        <v>1.7513134851138354E-3</v>
      </c>
    </row>
    <row r="42" spans="1:3">
      <c r="A42" s="3">
        <v>45786</v>
      </c>
      <c r="B42" s="4">
        <v>1.2751159196289956E-3</v>
      </c>
      <c r="C42" s="4">
        <v>-2.9571719918422803E-2</v>
      </c>
    </row>
    <row r="43" spans="1:3">
      <c r="A43" s="3">
        <v>45789</v>
      </c>
      <c r="B43" s="4">
        <v>-4.9598216002151706E-3</v>
      </c>
      <c r="C43" s="4">
        <v>-0.13010053222945003</v>
      </c>
    </row>
    <row r="44" spans="1:3">
      <c r="A44" s="3">
        <v>45790</v>
      </c>
      <c r="B44" s="4">
        <v>-7.706688031742545E-3</v>
      </c>
      <c r="C44" s="4">
        <v>2.1752265861027156E-2</v>
      </c>
    </row>
    <row r="45" spans="1:3">
      <c r="A45" s="3">
        <v>45791</v>
      </c>
      <c r="B45" s="4">
        <v>-1.8351372607767414E-2</v>
      </c>
      <c r="C45" s="4">
        <v>-2.7614571092831896E-2</v>
      </c>
    </row>
    <row r="46" spans="1:3">
      <c r="A46" s="3">
        <v>45792</v>
      </c>
      <c r="B46" s="4">
        <v>-1.3849903973999114E-2</v>
      </c>
      <c r="C46" s="4">
        <v>5.3160070880093162E-3</v>
      </c>
    </row>
    <row r="47" spans="1:3">
      <c r="A47" s="3">
        <v>45793</v>
      </c>
      <c r="B47" s="4">
        <v>-3.1294871322853457E-3</v>
      </c>
      <c r="C47" s="4">
        <v>-2.6451983898792376E-2</v>
      </c>
    </row>
    <row r="48" spans="1:3">
      <c r="A48" s="3">
        <v>45796</v>
      </c>
      <c r="B48" s="4">
        <v>-4.4351587127042721E-3</v>
      </c>
      <c r="C48" s="4">
        <v>-1.6958733747880157E-2</v>
      </c>
    </row>
    <row r="49" spans="1:3">
      <c r="A49" s="3">
        <v>45797</v>
      </c>
      <c r="B49" s="4">
        <v>-2.4862888482632792E-3</v>
      </c>
      <c r="C49" s="4">
        <v>5.9709980096673953E-3</v>
      </c>
    </row>
    <row r="50" spans="1:3">
      <c r="A50" s="3">
        <v>45798</v>
      </c>
      <c r="B50" s="4">
        <v>1.3180054184667705E-3</v>
      </c>
      <c r="C50" s="4">
        <v>5.6899004267422083E-4</v>
      </c>
    </row>
    <row r="51" spans="1:3">
      <c r="A51" s="3">
        <v>45799</v>
      </c>
      <c r="B51" s="4">
        <v>-1.4988119173826541E-3</v>
      </c>
      <c r="C51" s="4">
        <v>1.4245014245014246E-3</v>
      </c>
    </row>
    <row r="52" spans="1:3">
      <c r="A52" s="3">
        <v>45800</v>
      </c>
      <c r="B52" s="4">
        <v>5.291977509095578E-3</v>
      </c>
      <c r="C52" s="4">
        <v>4.0045766590388367E-3</v>
      </c>
    </row>
    <row r="53" spans="1:3">
      <c r="A53" s="3">
        <v>45803</v>
      </c>
      <c r="B53" s="4">
        <v>5.134456264775363E-3</v>
      </c>
      <c r="C53" s="4">
        <v>-5.7175528873638828E-4</v>
      </c>
    </row>
    <row r="54" spans="1:3">
      <c r="A54" s="3">
        <v>45804</v>
      </c>
      <c r="B54" s="4">
        <v>-9.8387037782085417E-3</v>
      </c>
      <c r="C54" s="4">
        <v>7.7787381158167341E-3</v>
      </c>
    </row>
    <row r="55" spans="1:3">
      <c r="A55" s="3">
        <v>45805</v>
      </c>
      <c r="B55" s="4">
        <v>5.4056041773921717E-3</v>
      </c>
      <c r="C55" s="4">
        <v>-2.7458671896889761E-2</v>
      </c>
    </row>
    <row r="56" spans="1:3">
      <c r="A56" s="3">
        <v>45810</v>
      </c>
      <c r="B56" s="4">
        <v>1.2887072425347868E-3</v>
      </c>
      <c r="C56" s="4">
        <v>3.1204854088413621E-2</v>
      </c>
    </row>
    <row r="57" spans="1:3">
      <c r="A57" s="3">
        <v>45811</v>
      </c>
      <c r="B57" s="4">
        <v>-1.0060142154182787E-2</v>
      </c>
      <c r="C57" s="4">
        <v>-9.4447624499140095E-3</v>
      </c>
    </row>
    <row r="58" spans="1:3">
      <c r="A58" s="3">
        <v>45812</v>
      </c>
      <c r="B58" s="4">
        <v>1.825817053131276E-3</v>
      </c>
      <c r="C58" s="4">
        <v>-1.2157195363302266E-2</v>
      </c>
    </row>
    <row r="59" spans="1:3">
      <c r="A59" s="3">
        <v>45814</v>
      </c>
      <c r="B59" s="4">
        <v>-1.4998920940939355E-2</v>
      </c>
      <c r="C59" s="4">
        <v>8.4889643463500672E-4</v>
      </c>
    </row>
    <row r="60" spans="1:3">
      <c r="A60" s="3">
        <v>45818</v>
      </c>
      <c r="B60" s="4">
        <v>9.0002520070561981E-4</v>
      </c>
      <c r="C60" s="4">
        <v>-2.0509977827051093E-2</v>
      </c>
    </row>
    <row r="61" spans="1:3">
      <c r="A61" s="3">
        <v>45819</v>
      </c>
      <c r="B61" s="4">
        <v>-2.6928048255062476E-3</v>
      </c>
      <c r="C61" s="4">
        <v>-9.3355299286105916E-3</v>
      </c>
    </row>
    <row r="62" spans="1:3">
      <c r="A62" s="3">
        <v>45820</v>
      </c>
      <c r="B62" s="4">
        <v>5.7778419760218325E-3</v>
      </c>
      <c r="C62" s="4">
        <v>-1.5675675675675706E-2</v>
      </c>
    </row>
    <row r="63" spans="1:3">
      <c r="A63" s="3">
        <v>45821</v>
      </c>
      <c r="B63" s="4">
        <v>-2.557360515794329E-3</v>
      </c>
      <c r="C63" s="4">
        <v>5.434782608695652E-3</v>
      </c>
    </row>
    <row r="64" spans="1:3">
      <c r="A64" s="3">
        <v>45824</v>
      </c>
      <c r="B64" s="4">
        <v>-3.1954617262673645E-3</v>
      </c>
      <c r="C64" s="4">
        <v>1.4332965821389163E-2</v>
      </c>
    </row>
    <row r="65" spans="1:3">
      <c r="A65" s="3">
        <v>45825</v>
      </c>
      <c r="B65" s="4">
        <v>-6.8463842533162738E-3</v>
      </c>
      <c r="C65" s="4">
        <v>-2.3155627355950368E-2</v>
      </c>
    </row>
    <row r="66" spans="1:3">
      <c r="A66" s="3">
        <v>45826</v>
      </c>
      <c r="B66" s="4">
        <v>-1.2117796251937431E-2</v>
      </c>
      <c r="C66" s="4">
        <v>-3.4070221066319954E-2</v>
      </c>
    </row>
    <row r="67" spans="1:3">
      <c r="A67" s="3">
        <v>45827</v>
      </c>
      <c r="B67" s="4">
        <v>-7.1348628987129977E-3</v>
      </c>
      <c r="C67" s="4">
        <v>-2.6001040041607576E-4</v>
      </c>
    </row>
    <row r="68" spans="1:3">
      <c r="A68" s="3">
        <v>45828</v>
      </c>
      <c r="B68" s="4">
        <v>1.088954886154731E-2</v>
      </c>
      <c r="C68" s="4">
        <v>-1.03896103896098E-3</v>
      </c>
    </row>
    <row r="69" spans="1:3">
      <c r="A69" s="3">
        <v>45831</v>
      </c>
      <c r="B69" s="4">
        <v>1.5255393230194911E-2</v>
      </c>
      <c r="C69" s="4">
        <v>5.7471264367815796E-3</v>
      </c>
    </row>
    <row r="70" spans="1:3">
      <c r="A70" s="3">
        <v>45832</v>
      </c>
      <c r="B70" s="4">
        <v>4.6882325363336377E-3</v>
      </c>
      <c r="C70" s="4">
        <v>6.5737575598211933E-3</v>
      </c>
    </row>
    <row r="71" spans="1:3">
      <c r="A71" s="3">
        <v>45833</v>
      </c>
      <c r="B71" s="4">
        <v>2.0960572440462612E-3</v>
      </c>
      <c r="C71" s="4">
        <v>1.224381155177009E-2</v>
      </c>
    </row>
    <row r="72" spans="1:3">
      <c r="A72" s="3">
        <v>45834</v>
      </c>
      <c r="B72" s="4">
        <v>3.8090401218891187E-3</v>
      </c>
      <c r="C72" s="4">
        <v>-1.3910761154855672E-2</v>
      </c>
    </row>
    <row r="73" spans="1:3">
      <c r="A73" s="3">
        <v>45835</v>
      </c>
      <c r="B73" s="4">
        <v>1.6295531632502639E-2</v>
      </c>
      <c r="C73" s="4">
        <v>2.0900321543408391E-2</v>
      </c>
    </row>
    <row r="74" spans="1:3">
      <c r="A74" s="3">
        <v>45838</v>
      </c>
      <c r="B74" s="4">
        <v>1.9699248120300786E-2</v>
      </c>
      <c r="C74" s="4">
        <v>-9.5541401273885954E-3</v>
      </c>
    </row>
    <row r="75" spans="1:3">
      <c r="A75" s="3">
        <v>45839</v>
      </c>
      <c r="B75" s="4">
        <v>-8.6094442995043128E-3</v>
      </c>
      <c r="C75" s="4">
        <v>1.9204760616716318E-2</v>
      </c>
    </row>
    <row r="76" spans="1:3">
      <c r="A76" s="3">
        <v>45840</v>
      </c>
      <c r="B76" s="4">
        <v>4.1917736442232288E-3</v>
      </c>
      <c r="C76" s="4">
        <v>-2.9404043055920162E-2</v>
      </c>
    </row>
    <row r="77" spans="1:3">
      <c r="A77" s="3">
        <v>45841</v>
      </c>
      <c r="B77" s="4">
        <v>-7.484749822230385E-5</v>
      </c>
      <c r="C77" s="4">
        <v>-3.4963263237902234E-2</v>
      </c>
    </row>
    <row r="78" spans="1:3">
      <c r="A78" s="3">
        <v>45842</v>
      </c>
      <c r="B78" s="4">
        <v>-1.8187830687830853E-2</v>
      </c>
      <c r="C78" s="4">
        <v>1.049667178699428E-2</v>
      </c>
    </row>
    <row r="79" spans="1:3">
      <c r="A79" s="3">
        <v>45845</v>
      </c>
      <c r="B79" s="4">
        <v>-1.9435989585242317E-3</v>
      </c>
      <c r="C79" s="4">
        <v>-2.3499999999999945E-2</v>
      </c>
    </row>
    <row r="80" spans="1:3">
      <c r="A80" s="3">
        <v>45846</v>
      </c>
      <c r="B80" s="4">
        <v>-1.9032978295083704E-3</v>
      </c>
      <c r="C80" s="4">
        <v>-6.2111801242236021E-3</v>
      </c>
    </row>
    <row r="81" spans="1:3">
      <c r="A81" s="3">
        <v>45847</v>
      </c>
      <c r="B81" s="4">
        <v>-6.4729626531874959E-3</v>
      </c>
      <c r="C81" s="4">
        <v>9.530975670930553E-3</v>
      </c>
    </row>
    <row r="82" spans="1:3">
      <c r="A82" s="3">
        <v>45848</v>
      </c>
      <c r="B82" s="4">
        <v>0</v>
      </c>
      <c r="C82" s="4">
        <v>3.5584415584415552E-2</v>
      </c>
    </row>
    <row r="83" spans="1:3">
      <c r="A83" s="3">
        <v>45852</v>
      </c>
      <c r="B83" s="4">
        <v>4.5529183460218964E-3</v>
      </c>
      <c r="C83" s="4">
        <v>1.2493492972410232E-2</v>
      </c>
    </row>
    <row r="84" spans="1:3">
      <c r="A84" s="3">
        <v>45853</v>
      </c>
      <c r="B84" s="4">
        <v>-4.8280472405853505E-3</v>
      </c>
      <c r="C84" s="4">
        <v>-5.3927604038414262E-2</v>
      </c>
    </row>
    <row r="85" spans="1:3">
      <c r="A85" s="3">
        <v>45854</v>
      </c>
      <c r="B85" s="4">
        <v>-1.3722508622927884E-3</v>
      </c>
      <c r="C85" s="4">
        <v>-1.7182962245885686E-2</v>
      </c>
    </row>
    <row r="86" spans="1:3">
      <c r="A86" s="3">
        <v>45855</v>
      </c>
      <c r="B86" s="4">
        <v>3.7101621340861034E-4</v>
      </c>
      <c r="C86" s="4">
        <v>-4.7487321346242561E-2</v>
      </c>
    </row>
    <row r="87" spans="1:3">
      <c r="A87" s="3">
        <v>45856</v>
      </c>
      <c r="B87" s="4">
        <v>3.6866016235940725E-3</v>
      </c>
      <c r="C87" s="4">
        <v>-4.1322314049587038E-3</v>
      </c>
    </row>
    <row r="88" spans="1:3">
      <c r="A88" s="3">
        <v>45859</v>
      </c>
      <c r="B88" s="4">
        <v>-4.8914251834284187E-3</v>
      </c>
      <c r="C88" s="4">
        <v>-9.3245394587217791E-3</v>
      </c>
    </row>
    <row r="89" spans="1:3">
      <c r="A89" s="3">
        <v>45860</v>
      </c>
      <c r="B89" s="4">
        <v>-3.765505020673294E-3</v>
      </c>
      <c r="C89" s="4">
        <v>-2.7217056021773389E-3</v>
      </c>
    </row>
    <row r="90" spans="1:3">
      <c r="A90" s="3">
        <v>45861</v>
      </c>
      <c r="B90" s="4">
        <v>6.2780935398788875E-3</v>
      </c>
      <c r="C90" s="4">
        <v>-8.767985611510867E-3</v>
      </c>
    </row>
    <row r="91" spans="1:3">
      <c r="A91" s="3">
        <v>45862</v>
      </c>
      <c r="B91" s="4">
        <v>2.607173451525154E-3</v>
      </c>
      <c r="C91" s="4">
        <v>2.2487069934792612E-4</v>
      </c>
    </row>
    <row r="92" spans="1:3">
      <c r="A92" s="3">
        <v>45863</v>
      </c>
      <c r="B92" s="4">
        <v>7.0816250465895539E-4</v>
      </c>
      <c r="C92" s="4">
        <v>7.2480181200452742E-3</v>
      </c>
    </row>
    <row r="93" spans="1:3">
      <c r="A93" s="3">
        <v>45866</v>
      </c>
      <c r="B93" s="4">
        <v>2.2796584324489243E-2</v>
      </c>
      <c r="C93" s="4">
        <v>2.1281517464723544E-2</v>
      </c>
    </row>
    <row r="94" spans="1:3">
      <c r="A94" s="3">
        <v>45867</v>
      </c>
      <c r="B94" s="4">
        <v>1.246671040951028E-2</v>
      </c>
      <c r="C94" s="4">
        <v>-3.2280378141571991E-3</v>
      </c>
    </row>
    <row r="95" spans="1:3">
      <c r="A95" s="3">
        <v>45868</v>
      </c>
      <c r="B95" s="4">
        <v>4.3805241122654506E-3</v>
      </c>
      <c r="C95" s="4">
        <v>4.1796781167427279E-2</v>
      </c>
    </row>
    <row r="96" spans="1:3">
      <c r="A96" s="3">
        <v>45869</v>
      </c>
      <c r="B96" s="4">
        <v>-1.6433446448316631E-2</v>
      </c>
      <c r="C96" s="4">
        <v>1.0436893203883522E-2</v>
      </c>
    </row>
    <row r="97" spans="1:3">
      <c r="A97" s="3">
        <v>45870</v>
      </c>
      <c r="B97" s="4">
        <v>2.0249102162450245E-3</v>
      </c>
      <c r="C97" s="4">
        <v>1.9455252918288216E-3</v>
      </c>
    </row>
    <row r="98" spans="1:3">
      <c r="A98" s="3">
        <v>45873</v>
      </c>
      <c r="B98" s="4">
        <v>3.9434494261546431E-2</v>
      </c>
      <c r="C98" s="4">
        <v>1.206005414718183E-2</v>
      </c>
    </row>
    <row r="99" spans="1:3">
      <c r="A99" s="3">
        <v>45874</v>
      </c>
      <c r="B99" s="4">
        <v>1.955623937160909E-2</v>
      </c>
      <c r="C99" s="4">
        <v>2.1367521367521368E-2</v>
      </c>
    </row>
    <row r="100" spans="1:3">
      <c r="A100" s="3">
        <v>45875</v>
      </c>
      <c r="B100" s="4">
        <v>-7.5943263551252246E-3</v>
      </c>
      <c r="C100" s="4">
        <v>-3.2573289902280414E-3</v>
      </c>
    </row>
    <row r="101" spans="1:3">
      <c r="A101" s="3">
        <v>45876</v>
      </c>
      <c r="B101" s="4">
        <v>6.3485644965628509E-3</v>
      </c>
      <c r="C101" s="4">
        <v>-1.6025641025641024E-2</v>
      </c>
    </row>
    <row r="102" spans="1:3">
      <c r="A102" s="3">
        <v>45877</v>
      </c>
      <c r="B102" s="4">
        <v>4.4500182046204801E-4</v>
      </c>
      <c r="C102" s="4">
        <v>-1.8393030009680459E-2</v>
      </c>
    </row>
    <row r="103" spans="1:3">
      <c r="A103" s="3">
        <v>45880</v>
      </c>
      <c r="B103" s="4">
        <v>9.7630718954247811E-3</v>
      </c>
      <c r="C103" s="4">
        <v>-1.6190476190476217E-2</v>
      </c>
    </row>
    <row r="104" spans="1:3">
      <c r="A104" s="3">
        <v>45881</v>
      </c>
      <c r="B104" s="4">
        <v>-3.4548035967818233E-2</v>
      </c>
      <c r="C104" s="4">
        <v>1.6949152542372881E-2</v>
      </c>
    </row>
    <row r="105" spans="1:3">
      <c r="A105" s="3">
        <v>45882</v>
      </c>
      <c r="B105" s="4">
        <v>-1.5568583297744267E-2</v>
      </c>
      <c r="C105" s="4">
        <v>1.2121212121212121E-3</v>
      </c>
    </row>
    <row r="106" spans="1:3">
      <c r="A106" s="3">
        <v>45883</v>
      </c>
      <c r="B106" s="4">
        <v>6.1721160982850269E-3</v>
      </c>
      <c r="C106" s="4">
        <v>6.0975609756097563E-3</v>
      </c>
    </row>
    <row r="107" spans="1:3">
      <c r="A107" s="3">
        <v>45884</v>
      </c>
      <c r="B107" s="4">
        <v>-8.1967213114746119E-4</v>
      </c>
      <c r="C107" s="4">
        <v>-1.3474494706448563E-2</v>
      </c>
    </row>
    <row r="108" spans="1:3">
      <c r="A108" s="3">
        <v>45887</v>
      </c>
      <c r="B108" s="4">
        <v>-5.1644468605598738E-3</v>
      </c>
      <c r="C108" s="4">
        <v>-1.3295346628679882E-2</v>
      </c>
    </row>
    <row r="109" spans="1:3">
      <c r="A109" s="3">
        <v>45888</v>
      </c>
      <c r="B109" s="4">
        <v>3.4678927680797476E-3</v>
      </c>
      <c r="C109" s="4">
        <v>1.6900048285852245E-2</v>
      </c>
    </row>
    <row r="110" spans="1:3">
      <c r="A110" s="3">
        <v>45889</v>
      </c>
      <c r="B110" s="4">
        <v>6.5892689049261779E-3</v>
      </c>
      <c r="C110" s="4">
        <v>-2.6099224077122084E-2</v>
      </c>
    </row>
    <row r="111" spans="1:3">
      <c r="A111" s="3">
        <v>45890</v>
      </c>
      <c r="B111" s="4">
        <v>3.187094235687595E-3</v>
      </c>
      <c r="C111" s="4">
        <v>1.6491395793499126E-2</v>
      </c>
    </row>
    <row r="112" spans="1:3">
      <c r="A112" s="3">
        <v>45891</v>
      </c>
      <c r="B112" s="4">
        <v>7.8755660563109694E-4</v>
      </c>
      <c r="C112" s="4">
        <v>7.9498915923872666E-3</v>
      </c>
    </row>
    <row r="113" spans="1:3">
      <c r="A113" s="3">
        <v>45894</v>
      </c>
      <c r="B113" s="4">
        <v>-4.0004706436051699E-3</v>
      </c>
      <c r="C113" s="4">
        <v>-4.078694817658322E-3</v>
      </c>
    </row>
    <row r="114" spans="1:3">
      <c r="A114" s="3">
        <v>45895</v>
      </c>
      <c r="B114" s="4">
        <v>-5.499648958577099E-3</v>
      </c>
      <c r="C114" s="4">
        <v>-2.4116132053383307E-2</v>
      </c>
    </row>
    <row r="115" spans="1:3">
      <c r="A115" s="3">
        <v>45896</v>
      </c>
      <c r="B115" s="4">
        <v>1.8067744113092098E-2</v>
      </c>
      <c r="C115" s="4">
        <v>-1.869595699929784E-3</v>
      </c>
    </row>
    <row r="116" spans="1:3">
      <c r="A116" s="3">
        <v>45897</v>
      </c>
      <c r="B116" s="4">
        <v>-8.3481000196888207E-3</v>
      </c>
      <c r="C116" s="4">
        <v>-2.1495540818660036E-2</v>
      </c>
    </row>
    <row r="117" spans="1:3">
      <c r="A117" s="3">
        <v>45898</v>
      </c>
      <c r="B117" s="4">
        <v>-6.4165264681717389E-3</v>
      </c>
      <c r="C117" s="4">
        <v>-1.197469498418439E-2</v>
      </c>
    </row>
    <row r="118" spans="1:3">
      <c r="A118" s="3">
        <v>45901</v>
      </c>
      <c r="B118" s="4">
        <v>4.3096763661592465E-2</v>
      </c>
      <c r="C118" s="4">
        <v>2.16989843028625E-2</v>
      </c>
    </row>
    <row r="119" spans="1:3">
      <c r="A119" s="3">
        <v>45902</v>
      </c>
      <c r="B119" s="4">
        <v>3.20094343596007E-2</v>
      </c>
      <c r="C119" s="4">
        <v>9.2421441774486422E-4</v>
      </c>
    </row>
    <row r="120" spans="1:3">
      <c r="A120" s="3">
        <v>45903</v>
      </c>
      <c r="B120" s="4">
        <v>-4.6533076213632315E-3</v>
      </c>
      <c r="C120" s="4">
        <v>-5.9715204409737394E-3</v>
      </c>
    </row>
    <row r="121" spans="1:3">
      <c r="A121" s="3">
        <v>45904</v>
      </c>
      <c r="B121" s="4">
        <v>3.5338662179217645E-3</v>
      </c>
      <c r="C121" s="4">
        <v>-4.5913682277329076E-4</v>
      </c>
    </row>
    <row r="122" spans="1:3">
      <c r="A122" s="3">
        <v>45905</v>
      </c>
      <c r="B122" s="4">
        <v>6.1375661375660893E-3</v>
      </c>
      <c r="C122" s="4">
        <v>5.772338951743246E-3</v>
      </c>
    </row>
    <row r="123" spans="1:3">
      <c r="A123" s="3">
        <v>45908</v>
      </c>
      <c r="B123" s="4">
        <v>1.1257597808406794E-2</v>
      </c>
      <c r="C123" s="4">
        <v>7.209302325581448E-3</v>
      </c>
    </row>
    <row r="124" spans="1:3">
      <c r="A124" s="3">
        <v>45909</v>
      </c>
      <c r="B124" s="4">
        <v>1.75530293131234E-2</v>
      </c>
      <c r="C124" s="4">
        <v>1.6305613789890255E-3</v>
      </c>
    </row>
    <row r="125" spans="1:3">
      <c r="A125" s="3">
        <v>45910</v>
      </c>
      <c r="B125" s="4">
        <v>1.4269305531012501E-2</v>
      </c>
      <c r="C125" s="4">
        <v>-2.3239600278875203E-3</v>
      </c>
    </row>
    <row r="126" spans="1:3">
      <c r="A126" s="3">
        <v>45911</v>
      </c>
      <c r="B126" s="4">
        <v>-3.223599828986743E-2</v>
      </c>
      <c r="C126" s="4">
        <v>1.1633317822242904E-3</v>
      </c>
    </row>
    <row r="127" spans="1:3">
      <c r="A127" s="3">
        <v>45912</v>
      </c>
      <c r="B127" s="4">
        <v>-1.4867539906498762E-2</v>
      </c>
      <c r="C127" s="4">
        <v>2.3272050267633871E-4</v>
      </c>
    </row>
    <row r="128" spans="1:3">
      <c r="A128" s="3">
        <v>45915</v>
      </c>
      <c r="B128" s="4">
        <v>-7.5241399490029804E-3</v>
      </c>
      <c r="C128" s="4">
        <v>1.7041420118343167E-2</v>
      </c>
    </row>
    <row r="129" spans="1:3">
      <c r="A129" s="3">
        <v>45916</v>
      </c>
      <c r="B129" s="4">
        <v>-3.7606551897043046E-4</v>
      </c>
      <c r="C129" s="4">
        <v>4.5173561578696559E-3</v>
      </c>
    </row>
    <row r="130" spans="1:3">
      <c r="A130" s="3">
        <v>45917</v>
      </c>
      <c r="B130" s="4">
        <v>5.4617259053860298E-3</v>
      </c>
      <c r="C130" s="4">
        <v>-2.4129930394431502E-2</v>
      </c>
    </row>
    <row r="131" spans="1:3">
      <c r="A131" s="3">
        <v>45918</v>
      </c>
      <c r="B131" s="4">
        <v>3.8119330076762076E-2</v>
      </c>
      <c r="C131" s="4">
        <v>-2.1566401816118047E-2</v>
      </c>
    </row>
    <row r="132" spans="1:3">
      <c r="A132" s="3">
        <v>45919</v>
      </c>
      <c r="B132" s="4">
        <v>-1.044454035390586E-2</v>
      </c>
      <c r="C132" s="4">
        <v>-2.0458083166555455E-2</v>
      </c>
    </row>
    <row r="133" spans="1:3">
      <c r="A133" s="3">
        <v>45922</v>
      </c>
      <c r="B133" s="4">
        <v>-1.8094089264174388E-3</v>
      </c>
      <c r="C133" s="4">
        <v>-8.886914019107622E-4</v>
      </c>
    </row>
    <row r="134" spans="1:3">
      <c r="A134" s="3">
        <v>45923</v>
      </c>
      <c r="B134" s="4">
        <v>8.9980439034992084E-3</v>
      </c>
      <c r="C134" s="4">
        <v>0</v>
      </c>
    </row>
    <row r="135" spans="1:3">
      <c r="A135" s="3">
        <v>45924</v>
      </c>
      <c r="B135" s="4">
        <v>5.1557652816009384E-3</v>
      </c>
      <c r="C135" s="4">
        <v>1.4881623449830942E-2</v>
      </c>
    </row>
    <row r="136" spans="1:3">
      <c r="A136" s="3">
        <v>45925</v>
      </c>
      <c r="B136" s="4">
        <v>9.4385392316853299E-3</v>
      </c>
      <c r="C136" s="4">
        <v>-2.7412280701754384E-2</v>
      </c>
    </row>
    <row r="137" spans="1:3">
      <c r="A137" s="3">
        <v>45926</v>
      </c>
      <c r="B137" s="4">
        <v>-2.6393348876084227E-3</v>
      </c>
      <c r="C137" s="4">
        <v>2.5410389026309897E-2</v>
      </c>
    </row>
    <row r="138" spans="1:3">
      <c r="A138" s="3">
        <v>45929</v>
      </c>
      <c r="B138" s="4">
        <v>1.2741123535439096E-2</v>
      </c>
      <c r="C138" s="4">
        <v>-7.5875920553448647E-3</v>
      </c>
    </row>
    <row r="139" spans="1:3">
      <c r="A139" s="3">
        <v>45930</v>
      </c>
      <c r="B139" s="4">
        <v>-4.920648993705176E-3</v>
      </c>
      <c r="C139" s="4">
        <v>2.4228571428571481E-2</v>
      </c>
    </row>
    <row r="140" spans="1:3">
      <c r="A140" s="3">
        <v>45931</v>
      </c>
      <c r="B140" s="4">
        <v>-1.9728837128454683E-2</v>
      </c>
      <c r="C140" s="4">
        <v>3.8452409209589339E-2</v>
      </c>
    </row>
    <row r="141" spans="1:3">
      <c r="A141" s="3">
        <v>45932</v>
      </c>
      <c r="B141" s="4">
        <v>-1.4319809069211721E-3</v>
      </c>
      <c r="C141" s="4">
        <v>-2.3679848448969927E-3</v>
      </c>
    </row>
    <row r="142" spans="1:3">
      <c r="A142" s="3">
        <v>45933</v>
      </c>
      <c r="B142" s="4">
        <v>-3.0283365779797404E-3</v>
      </c>
      <c r="C142" s="4">
        <v>-0.18396135265700481</v>
      </c>
    </row>
    <row r="143" spans="1:3">
      <c r="A143" s="3">
        <v>45936</v>
      </c>
      <c r="B143" s="4">
        <v>-5.1218042523887312E-3</v>
      </c>
      <c r="C143" s="4">
        <v>-1.9286403085824494E-3</v>
      </c>
    </row>
    <row r="144" spans="1:3">
      <c r="A144" s="3">
        <v>45937</v>
      </c>
      <c r="B144" s="4">
        <v>-2.3616299540554896E-3</v>
      </c>
      <c r="C144" s="4">
        <v>2.2682445759368838E-2</v>
      </c>
    </row>
    <row r="145" spans="1:3">
      <c r="A145" s="3">
        <v>45938</v>
      </c>
      <c r="B145" s="4">
        <v>1.6055145936041092E-2</v>
      </c>
      <c r="C145" s="4">
        <v>-1.4577259475218658E-2</v>
      </c>
    </row>
    <row r="146" spans="1:3">
      <c r="A146" s="3">
        <v>45939</v>
      </c>
      <c r="B146" s="4">
        <v>0</v>
      </c>
      <c r="C146" s="4">
        <v>-3.3898305084745762E-3</v>
      </c>
    </row>
    <row r="147" spans="1:3">
      <c r="A147" s="3">
        <v>45943</v>
      </c>
      <c r="B147" s="4">
        <v>-8.3096435600262652E-3</v>
      </c>
      <c r="C147" s="4">
        <v>9.6478533526290404E-4</v>
      </c>
    </row>
    <row r="148" spans="1:3">
      <c r="A148" s="3">
        <v>45944</v>
      </c>
      <c r="B148" s="4">
        <v>4.2350474106491572E-2</v>
      </c>
      <c r="C148" s="4">
        <v>-3.401677539608574E-2</v>
      </c>
    </row>
    <row r="149" spans="1:3">
      <c r="A149" s="3">
        <v>45945</v>
      </c>
      <c r="B149" s="4">
        <v>3.1796801505174124E-2</v>
      </c>
      <c r="C149" s="4">
        <v>-1.0603964960811434E-2</v>
      </c>
    </row>
    <row r="150" spans="1:3">
      <c r="A150" s="3">
        <v>45946</v>
      </c>
      <c r="B150" s="4">
        <v>5.0914483440434907E-2</v>
      </c>
      <c r="C150" s="4">
        <v>9.3066542577943234E-3</v>
      </c>
    </row>
    <row r="151" spans="1:3">
      <c r="A151" s="3">
        <v>45947</v>
      </c>
      <c r="B151" s="4">
        <v>-2.1210476989097738E-3</v>
      </c>
      <c r="C151" s="4">
        <v>-1.0133578995854445E-2</v>
      </c>
    </row>
    <row r="152" spans="1:3">
      <c r="A152" s="3">
        <v>45950</v>
      </c>
      <c r="B152" s="4">
        <v>4.7578926500469821E-3</v>
      </c>
      <c r="C152" s="4">
        <v>9.7674418604651158E-3</v>
      </c>
    </row>
    <row r="153" spans="1:3">
      <c r="A153" s="3">
        <v>45951</v>
      </c>
      <c r="B153" s="4">
        <v>-2.4983086885087404E-2</v>
      </c>
      <c r="C153" s="4">
        <v>5.6127221702525721E-3</v>
      </c>
    </row>
    <row r="154" spans="1:3">
      <c r="A154" s="3">
        <v>45952</v>
      </c>
      <c r="B154" s="4">
        <v>-7.1010459648785619E-3</v>
      </c>
      <c r="C154" s="4">
        <v>-6.9670227589410123E-3</v>
      </c>
    </row>
    <row r="155" spans="1:3">
      <c r="A155" s="3">
        <v>45953</v>
      </c>
      <c r="B155" s="4">
        <v>-1.049233252623087E-2</v>
      </c>
      <c r="C155" s="4">
        <v>1.8448438978240302E-2</v>
      </c>
    </row>
    <row r="156" spans="1:3">
      <c r="A156" s="3">
        <v>45954</v>
      </c>
      <c r="B156" s="4">
        <v>-1.298031865042179E-2</v>
      </c>
      <c r="C156" s="4">
        <v>-7.0455612963832787E-3</v>
      </c>
    </row>
    <row r="157" spans="1:3">
      <c r="A157" s="3">
        <v>45957</v>
      </c>
      <c r="B157" s="4">
        <v>7.9726117338093099E-4</v>
      </c>
      <c r="C157" s="4">
        <v>1.380952380952381E-2</v>
      </c>
    </row>
    <row r="158" spans="1:3">
      <c r="A158" s="3">
        <v>45958</v>
      </c>
      <c r="B158" s="4">
        <v>5.6308948430376855E-4</v>
      </c>
      <c r="C158" s="4">
        <v>1.0587102983638113E-2</v>
      </c>
    </row>
    <row r="159" spans="1:3">
      <c r="A159" s="3">
        <v>45959</v>
      </c>
      <c r="B159" s="4">
        <v>-1.8266978922715988E-3</v>
      </c>
      <c r="C159" s="4">
        <v>1.9286403085824494E-3</v>
      </c>
    </row>
    <row r="160" spans="1:3">
      <c r="A160" s="3">
        <v>45960</v>
      </c>
      <c r="B160" s="4">
        <v>-1.1695906432748538E-3</v>
      </c>
      <c r="C160" s="4">
        <v>-1.1910433539780848E-2</v>
      </c>
    </row>
    <row r="161" spans="1:3">
      <c r="A161" s="3">
        <v>45961</v>
      </c>
      <c r="B161" s="4">
        <v>9.016238670694848E-3</v>
      </c>
      <c r="C161" s="4">
        <v>3.3460803059273425E-3</v>
      </c>
    </row>
    <row r="162" spans="1:3">
      <c r="A162" s="3">
        <v>45964</v>
      </c>
      <c r="B162" s="4">
        <v>6.1745986510877331E-3</v>
      </c>
      <c r="C162" s="4">
        <v>8.6788813886210219E-3</v>
      </c>
    </row>
    <row r="163" spans="1:3">
      <c r="A163" s="3">
        <v>45965</v>
      </c>
      <c r="B163" s="4">
        <v>5.5401662049861331E-3</v>
      </c>
      <c r="C163" s="4">
        <v>1.6666666666666666E-2</v>
      </c>
    </row>
    <row r="164" spans="1:3">
      <c r="A164" s="3">
        <v>45966</v>
      </c>
      <c r="B164" s="4">
        <v>-6.6819396716310988E-4</v>
      </c>
      <c r="C164" s="4">
        <v>-1.8286814244465831E-2</v>
      </c>
    </row>
    <row r="165" spans="1:3">
      <c r="A165" s="3">
        <v>45967</v>
      </c>
      <c r="B165" s="4">
        <v>4.9884881043746184E-3</v>
      </c>
      <c r="C165" s="4">
        <v>-1.4231499051233396E-2</v>
      </c>
    </row>
    <row r="166" spans="1:3">
      <c r="A166" s="3">
        <v>45968</v>
      </c>
      <c r="B166" s="4">
        <v>2.355882494350597E-3</v>
      </c>
      <c r="C166" s="4">
        <v>-1.4492753623188406E-2</v>
      </c>
    </row>
    <row r="167" spans="1:3">
      <c r="A167" s="3">
        <v>45971</v>
      </c>
      <c r="B167" s="4">
        <v>-1.2017860535816079E-2</v>
      </c>
      <c r="C167" s="4">
        <v>-6.5025545750116119E-3</v>
      </c>
    </row>
    <row r="168" spans="1:3">
      <c r="A168" s="3">
        <v>45972</v>
      </c>
      <c r="B168" s="4">
        <v>-5.9026302120224767E-3</v>
      </c>
      <c r="C168" s="4">
        <v>9.8499061913696062E-3</v>
      </c>
    </row>
    <row r="169" spans="1:3">
      <c r="A169" s="3">
        <v>45973</v>
      </c>
      <c r="B169" s="4">
        <v>6.0332541567696451E-3</v>
      </c>
      <c r="C169" s="4">
        <v>1.4091122592766556E-3</v>
      </c>
    </row>
    <row r="170" spans="1:3">
      <c r="A170" s="3">
        <v>45974</v>
      </c>
      <c r="B170" s="4">
        <v>5.3971438123895281E-3</v>
      </c>
      <c r="C170" s="4">
        <v>-1.9345923537540305E-2</v>
      </c>
    </row>
    <row r="171" spans="1:3">
      <c r="A171" s="3">
        <v>45975</v>
      </c>
      <c r="B171" s="4">
        <v>2.8665615594095968E-4</v>
      </c>
      <c r="C171" s="4">
        <v>-1.6757246376811596E-2</v>
      </c>
    </row>
    <row r="172" spans="1:3">
      <c r="A172" s="3">
        <v>45978</v>
      </c>
      <c r="B172" s="4">
        <v>-1.6862376702677328E-2</v>
      </c>
      <c r="C172" s="4">
        <v>-2.2593764121102574E-3</v>
      </c>
    </row>
    <row r="173" spans="1:3">
      <c r="A173" s="3">
        <v>45979</v>
      </c>
      <c r="B173" s="4">
        <v>5.193578847969756E-3</v>
      </c>
      <c r="C173" s="4">
        <v>-1.3537906137184115E-3</v>
      </c>
    </row>
    <row r="174" spans="1:3">
      <c r="A174" s="3">
        <v>45980</v>
      </c>
      <c r="B174" s="4">
        <v>2.2250108595974774E-2</v>
      </c>
      <c r="C174" s="4">
        <v>-3.5971223021582736E-3</v>
      </c>
    </row>
    <row r="175" spans="1:3">
      <c r="A175" s="3">
        <v>45981</v>
      </c>
      <c r="B175" s="4">
        <v>1.2906379858225306E-2</v>
      </c>
      <c r="C175" s="4">
        <v>9.0009000900090005E-4</v>
      </c>
    </row>
    <row r="176" spans="1:3">
      <c r="A176" s="3">
        <v>45982</v>
      </c>
      <c r="B176" s="4">
        <v>2.0352172394872112E-2</v>
      </c>
      <c r="C176" s="4">
        <v>2.6327944572748268E-2</v>
      </c>
    </row>
    <row r="177" spans="1:3">
      <c r="A177" s="3">
        <v>45985</v>
      </c>
      <c r="B177" s="4">
        <v>3.9922151803988476E-4</v>
      </c>
      <c r="C177" s="4">
        <v>-1.8585675430643701E-2</v>
      </c>
    </row>
    <row r="178" spans="1:3">
      <c r="A178" s="3">
        <v>45986</v>
      </c>
      <c r="B178" s="4">
        <v>-2.7867628763374088E-3</v>
      </c>
      <c r="C178" s="4">
        <v>-2.8193832599118944E-2</v>
      </c>
    </row>
    <row r="179" spans="1:3">
      <c r="A179" s="3">
        <v>45987</v>
      </c>
      <c r="B179" s="4">
        <v>6.3097801592467868E-3</v>
      </c>
      <c r="C179" s="4">
        <v>2.668475802804161E-2</v>
      </c>
    </row>
    <row r="180" spans="1:3">
      <c r="A180" s="3">
        <v>45988</v>
      </c>
      <c r="B180" s="4">
        <v>-5.9734182886156039E-3</v>
      </c>
      <c r="C180" s="4">
        <v>-5.3104925053533189E-2</v>
      </c>
    </row>
    <row r="181" spans="1:3">
      <c r="A181" s="3">
        <v>45989</v>
      </c>
      <c r="B181" s="4">
        <v>2.4951344877488899E-3</v>
      </c>
      <c r="C181" s="4">
        <v>1.3454861111111112E-2</v>
      </c>
    </row>
    <row r="182" spans="1:3">
      <c r="A182" s="3">
        <v>45992</v>
      </c>
      <c r="B182" s="4">
        <v>2.2502296152668622E-2</v>
      </c>
      <c r="C182" s="4">
        <v>-1.8739352640545145E-2</v>
      </c>
    </row>
    <row r="183" spans="1:3">
      <c r="A183" s="3">
        <v>45993</v>
      </c>
      <c r="B183" s="4">
        <v>4.7680082030247548E-3</v>
      </c>
      <c r="C183" s="4">
        <v>1.2793176972281451E-3</v>
      </c>
    </row>
    <row r="184" spans="1:3">
      <c r="A184" s="3">
        <v>45994</v>
      </c>
      <c r="B184" s="4">
        <v>-1.4002628652310089E-2</v>
      </c>
      <c r="C184" s="4">
        <v>-2.2509378907878283E-2</v>
      </c>
    </row>
    <row r="185" spans="1:3">
      <c r="A185" s="3">
        <v>45995</v>
      </c>
      <c r="B185" s="4">
        <v>1.0058718406944084E-2</v>
      </c>
      <c r="C185" s="4">
        <v>4.3951261966927765E-2</v>
      </c>
    </row>
    <row r="186" spans="1:3">
      <c r="A186" s="3">
        <v>45996</v>
      </c>
      <c r="B186" s="4">
        <v>-1.3846928499496475E-2</v>
      </c>
      <c r="C186" s="4">
        <v>-2.4617996604414261E-2</v>
      </c>
    </row>
    <row r="187" spans="1:3">
      <c r="A187" s="3">
        <v>45999</v>
      </c>
      <c r="B187" s="4">
        <v>2.1192854980320291E-3</v>
      </c>
      <c r="C187" s="4">
        <v>-1.340033500837521E-2</v>
      </c>
    </row>
    <row r="188" spans="1:3">
      <c r="A188" s="3">
        <v>46000</v>
      </c>
      <c r="B188" s="4">
        <v>-1.9202217163218824E-2</v>
      </c>
      <c r="C188" s="4">
        <v>8.8719898605830166E-3</v>
      </c>
    </row>
    <row r="189" spans="1:3">
      <c r="A189" s="3">
        <v>46001</v>
      </c>
      <c r="B189" s="4">
        <v>6.0744871539533899E-3</v>
      </c>
      <c r="C189" s="4">
        <v>-2.1079258010118043E-3</v>
      </c>
    </row>
    <row r="190" spans="1:3">
      <c r="A190" s="3">
        <v>46002</v>
      </c>
      <c r="B190" s="4">
        <v>-1.2100344318740816E-2</v>
      </c>
      <c r="C190" s="4">
        <v>-2.7470274702747027E-2</v>
      </c>
    </row>
    <row r="191" spans="1:3">
      <c r="A191" s="3">
        <v>46003</v>
      </c>
      <c r="B191" s="4">
        <v>1.6398360163983605E-2</v>
      </c>
      <c r="C191" s="4">
        <v>1.6673614005835766E-2</v>
      </c>
    </row>
    <row r="192" spans="1:3">
      <c r="A192" s="3">
        <v>46006</v>
      </c>
      <c r="B192" s="4">
        <v>-1.0781404549950437E-2</v>
      </c>
      <c r="C192" s="4">
        <v>1.7819261773440814E-2</v>
      </c>
    </row>
    <row r="193" spans="1:3">
      <c r="A193" s="3">
        <v>46007</v>
      </c>
      <c r="B193" s="4">
        <v>-2.2205773501111129E-3</v>
      </c>
      <c r="C193" s="4">
        <v>-1.5043877977434183E-2</v>
      </c>
    </row>
    <row r="194" spans="1:3">
      <c r="A194" s="3">
        <v>46008</v>
      </c>
      <c r="B194" s="4">
        <v>7.7577204236908958E-3</v>
      </c>
      <c r="C194" s="4">
        <v>-1.8054985638079606E-2</v>
      </c>
    </row>
    <row r="195" spans="1:3">
      <c r="A195" s="3">
        <v>46009</v>
      </c>
      <c r="B195" s="4">
        <v>4.2449061126647739E-3</v>
      </c>
      <c r="C195" s="4">
        <v>1.3305613305613306E-2</v>
      </c>
    </row>
    <row r="196" spans="1:3">
      <c r="A196" s="3">
        <v>46010</v>
      </c>
      <c r="B196" s="4">
        <v>4.5148991672519598E-3</v>
      </c>
      <c r="C196" s="4">
        <v>1.433994095318431E-2</v>
      </c>
    </row>
    <row r="197" spans="1:3">
      <c r="A197" s="3">
        <v>46013</v>
      </c>
      <c r="B197" s="4">
        <v>-2.3522346228917416E-3</v>
      </c>
      <c r="C197" s="4">
        <v>-5.4530201342281879E-3</v>
      </c>
    </row>
    <row r="198" spans="1:3">
      <c r="A198" s="3">
        <v>46014</v>
      </c>
      <c r="B198" s="4">
        <v>1.0521042084168735E-3</v>
      </c>
      <c r="C198" s="4">
        <v>-1.6907216494845362E-2</v>
      </c>
    </row>
    <row r="199" spans="1:3">
      <c r="A199" s="3">
        <v>46020</v>
      </c>
      <c r="B199" s="4">
        <v>2.5272241627285738E-2</v>
      </c>
      <c r="C199" s="4">
        <v>0</v>
      </c>
    </row>
    <row r="200" spans="1:3">
      <c r="A200" s="3">
        <v>46021</v>
      </c>
      <c r="B200" s="4">
        <v>-3.0236612702366092E-2</v>
      </c>
      <c r="C200" s="4">
        <v>1.2386457473162675E-3</v>
      </c>
    </row>
    <row r="201" spans="1:3">
      <c r="A201" s="3">
        <v>46024</v>
      </c>
      <c r="B201" s="4">
        <v>-3.6231884057970508E-3</v>
      </c>
      <c r="C201" s="4">
        <v>1.1695906432748537E-2</v>
      </c>
    </row>
    <row r="202" spans="1:3">
      <c r="A202" s="3">
        <v>46027</v>
      </c>
      <c r="B202" s="4">
        <v>-2.3032536488386754E-2</v>
      </c>
      <c r="C202" s="4">
        <v>3.5915188230203378E-2</v>
      </c>
    </row>
    <row r="203" spans="1:3">
      <c r="A203" s="3">
        <v>46028</v>
      </c>
      <c r="B203" s="4">
        <v>-9.2241172231564538E-3</v>
      </c>
      <c r="C203" s="4">
        <v>4.329004329004329E-4</v>
      </c>
    </row>
    <row r="204" spans="1:3">
      <c r="A204" s="3">
        <v>46029</v>
      </c>
      <c r="B204" s="4">
        <v>-1.1727281359794886E-2</v>
      </c>
      <c r="C204" s="4">
        <v>1.6278046634403871E-2</v>
      </c>
    </row>
    <row r="205" spans="1:3">
      <c r="A205" s="3">
        <v>46030</v>
      </c>
      <c r="B205" s="4">
        <v>-9.0128551776480113E-4</v>
      </c>
      <c r="C205" s="4">
        <v>2.2032374100719423E-2</v>
      </c>
    </row>
    <row r="206" spans="1:3">
      <c r="A206" s="3">
        <v>46031</v>
      </c>
      <c r="B206" s="4">
        <v>-4.157022060560232E-3</v>
      </c>
      <c r="C206" s="4">
        <v>7.6997578692493948E-2</v>
      </c>
    </row>
    <row r="207" spans="1:3">
      <c r="A207" s="3">
        <v>46034</v>
      </c>
      <c r="B207" s="4">
        <v>-2.7793480309025974E-3</v>
      </c>
      <c r="C207" s="4">
        <v>2.5832091405861898E-2</v>
      </c>
    </row>
    <row r="208" spans="1:3">
      <c r="A208" s="3">
        <v>46035</v>
      </c>
      <c r="B208" s="4">
        <v>0</v>
      </c>
      <c r="C208" s="4">
        <v>7.7092511013216319E-3</v>
      </c>
    </row>
    <row r="209" spans="1:3">
      <c r="A209" s="3">
        <v>46037</v>
      </c>
      <c r="B209" s="4">
        <v>6.3135528911822836E-2</v>
      </c>
      <c r="C209" s="4">
        <v>-2.1912350597609563E-2</v>
      </c>
    </row>
    <row r="210" spans="1:3">
      <c r="A210" s="3">
        <v>46038</v>
      </c>
      <c r="B210" s="4">
        <v>5.289121700656014E-3</v>
      </c>
      <c r="C210" s="4">
        <v>0</v>
      </c>
    </row>
    <row r="211" spans="1:3">
      <c r="A211" s="3">
        <v>46041</v>
      </c>
      <c r="B211" s="4">
        <v>6.2947799385874598E-3</v>
      </c>
      <c r="C211" s="4">
        <v>1.9910605444941106E-2</v>
      </c>
    </row>
    <row r="212" spans="1:3">
      <c r="A212" s="3">
        <v>46042</v>
      </c>
      <c r="B212" s="4">
        <v>-1.1383759170250442E-2</v>
      </c>
      <c r="C212" s="4">
        <v>1.2548858259617292E-2</v>
      </c>
    </row>
    <row r="213" spans="1:3">
      <c r="A213" s="3">
        <v>46043</v>
      </c>
      <c r="B213" s="4">
        <v>-1.9189011765893826E-3</v>
      </c>
      <c r="C213" s="4">
        <v>-4.5054269916034988E-3</v>
      </c>
    </row>
    <row r="214" spans="1:3">
      <c r="A214" s="3">
        <v>46044</v>
      </c>
      <c r="B214" s="4">
        <v>-3.1448694121099512E-2</v>
      </c>
      <c r="C214" s="4">
        <v>-8.1849805606707033E-4</v>
      </c>
    </row>
    <row r="215" spans="1:3">
      <c r="A215" s="3">
        <v>46045</v>
      </c>
      <c r="B215" s="4">
        <v>-3.7336974433824471E-2</v>
      </c>
      <c r="C215" s="4">
        <v>1.3900414937759313E-2</v>
      </c>
    </row>
    <row r="216" spans="1:3">
      <c r="A216" s="3">
        <v>46048</v>
      </c>
      <c r="B216" s="4">
        <v>3.8283391624916053E-3</v>
      </c>
      <c r="C216" s="4">
        <v>5.0041701417847728E-3</v>
      </c>
    </row>
    <row r="217" spans="1:3">
      <c r="A217" s="3">
        <v>46049</v>
      </c>
      <c r="B217" s="4">
        <v>6.1343858481146063E-3</v>
      </c>
      <c r="C217" s="4">
        <v>-2.4410089503661511E-2</v>
      </c>
    </row>
    <row r="218" spans="1:3">
      <c r="A218" s="3">
        <v>46050</v>
      </c>
      <c r="B218" s="4">
        <v>5.0661950963055121E-3</v>
      </c>
      <c r="C218" s="4">
        <v>4.7740835464620705E-2</v>
      </c>
    </row>
    <row r="219" spans="1:3">
      <c r="A219" s="3">
        <v>46051</v>
      </c>
      <c r="B219" s="4">
        <v>4.1272735998463556E-3</v>
      </c>
      <c r="C219" s="4">
        <v>1.8671298306556592E-2</v>
      </c>
    </row>
    <row r="220" spans="1:3">
      <c r="A220" s="3">
        <v>46052</v>
      </c>
      <c r="B220" s="4">
        <v>4.3379765749265225E-3</v>
      </c>
      <c r="C220" s="4">
        <v>-3.5190615835777032E-2</v>
      </c>
    </row>
    <row r="221" spans="1:3">
      <c r="A221" s="3">
        <v>46055</v>
      </c>
      <c r="B221" s="4">
        <v>1.8457611310195823E-2</v>
      </c>
      <c r="C221" s="4">
        <v>5.8997050147491662E-3</v>
      </c>
    </row>
    <row r="222" spans="1:3">
      <c r="A222" s="3">
        <v>46056</v>
      </c>
      <c r="B222" s="4">
        <v>2.4337506914064482E-2</v>
      </c>
      <c r="C222" s="4">
        <v>1.8236429950654366E-2</v>
      </c>
    </row>
    <row r="223" spans="1:3">
      <c r="A223" s="3">
        <v>46057</v>
      </c>
      <c r="B223" s="4">
        <v>3.4057820299500892E-2</v>
      </c>
      <c r="C223" s="4">
        <v>-1.8323504633529882E-2</v>
      </c>
    </row>
    <row r="224" spans="1:3">
      <c r="A224" s="3">
        <v>46058</v>
      </c>
      <c r="B224" s="4">
        <v>-1.9425890990669464E-2</v>
      </c>
      <c r="C224" s="4">
        <v>7.4451233310703857E-2</v>
      </c>
    </row>
    <row r="225" spans="1:3">
      <c r="A225" s="3">
        <v>46059</v>
      </c>
      <c r="B225" s="4">
        <v>1.3958537972393055E-2</v>
      </c>
      <c r="C225" s="4">
        <v>-4.0599218410768662E-2</v>
      </c>
    </row>
    <row r="226" spans="1:3">
      <c r="A226" s="3">
        <v>46062</v>
      </c>
      <c r="B226" s="4">
        <v>-3.8904899135446612E-2</v>
      </c>
      <c r="C226" s="4">
        <v>1.8801150188011501E-2</v>
      </c>
    </row>
    <row r="227" spans="1:3">
      <c r="A227" s="3">
        <v>46063</v>
      </c>
      <c r="B227" s="4">
        <v>-1.8845467169212233E-3</v>
      </c>
      <c r="C227" s="4">
        <v>3.5264483627204107E-2</v>
      </c>
    </row>
    <row r="228" spans="1:3">
      <c r="A228" s="3">
        <v>46064</v>
      </c>
      <c r="B228" s="4">
        <v>2.2048760707587788E-2</v>
      </c>
      <c r="C228" s="4">
        <v>-7.9662802950474204E-2</v>
      </c>
    </row>
    <row r="229" spans="1:3">
      <c r="A229" s="3">
        <v>46065</v>
      </c>
      <c r="B229" s="4">
        <v>4.0613956432301222E-2</v>
      </c>
      <c r="C229" s="4">
        <v>-0.10682352941176471</v>
      </c>
    </row>
    <row r="230" spans="1:3">
      <c r="A230" s="3">
        <v>46066</v>
      </c>
      <c r="B230" s="4">
        <v>-4.2426385170968257E-2</v>
      </c>
      <c r="C230" s="4">
        <v>1.4137606032045241E-3</v>
      </c>
    </row>
    <row r="231" spans="1:3">
      <c r="A231" s="3">
        <v>46069</v>
      </c>
      <c r="B231" s="4">
        <v>0.15331741131240184</v>
      </c>
      <c r="C231" s="4">
        <v>6.6413662239089184E-3</v>
      </c>
    </row>
    <row r="232" spans="1:3">
      <c r="A232" s="3">
        <v>46070</v>
      </c>
      <c r="B232" s="4">
        <v>-4.9814579066806891E-2</v>
      </c>
      <c r="C232" s="4">
        <v>-1.2646370023419205E-2</v>
      </c>
    </row>
    <row r="233" spans="1:3">
      <c r="A233" s="3">
        <v>46071</v>
      </c>
      <c r="B233" s="4">
        <v>-3.6734911494988351E-2</v>
      </c>
      <c r="C233" s="4">
        <v>-1.9742883379247015E-2</v>
      </c>
    </row>
    <row r="234" spans="1:3">
      <c r="A234" s="3">
        <v>46072</v>
      </c>
      <c r="B234" s="4">
        <v>-7.2907913597943755E-2</v>
      </c>
      <c r="C234" s="4">
        <v>-1.8476791347453808E-2</v>
      </c>
    </row>
    <row r="235" spans="1:3">
      <c r="A235" s="3">
        <v>46073</v>
      </c>
      <c r="B235" s="4">
        <v>-9.2454692266283806E-2</v>
      </c>
      <c r="C235" s="4">
        <v>9.0211998195760036E-4</v>
      </c>
    </row>
    <row r="236" spans="1:3">
      <c r="A236" s="3">
        <v>46076</v>
      </c>
      <c r="B236" s="4">
        <v>3.150031500314952E-3</v>
      </c>
      <c r="C236" s="4">
        <v>-2.1624007060900265E-2</v>
      </c>
    </row>
    <row r="237" spans="1:3">
      <c r="A237" s="3">
        <v>46077</v>
      </c>
      <c r="B237" s="4">
        <v>4.7474793145544664E-3</v>
      </c>
      <c r="C237" s="4">
        <v>1.5688032272523533E-2</v>
      </c>
    </row>
    <row r="238" spans="1:3">
      <c r="A238" s="3">
        <v>46078</v>
      </c>
      <c r="B238" s="4">
        <v>1.9451486517630786E-2</v>
      </c>
      <c r="C238" s="4">
        <v>-1.5445719329214475E-2</v>
      </c>
    </row>
    <row r="239" spans="1:3">
      <c r="A239" s="3">
        <v>46079</v>
      </c>
      <c r="B239" s="4">
        <v>-2.6606245513280721E-2</v>
      </c>
      <c r="C239" s="4">
        <v>1.3870246085011185E-2</v>
      </c>
    </row>
    <row r="240" spans="1:3">
      <c r="A240" s="3">
        <v>46080</v>
      </c>
      <c r="B240" s="4">
        <v>1.0472865756902582E-2</v>
      </c>
      <c r="C240" s="4">
        <v>3.9534883720930232E-2</v>
      </c>
    </row>
    <row r="241" spans="1:3">
      <c r="A241" s="3">
        <v>46083</v>
      </c>
      <c r="B241" s="4">
        <v>-9.9201005476254964E-3</v>
      </c>
      <c r="C241" s="4">
        <v>-2.6708918062471707E-2</v>
      </c>
    </row>
    <row r="242" spans="1:3">
      <c r="A242" s="3">
        <v>46084</v>
      </c>
      <c r="B242" s="4">
        <v>1.3696136870364429E-2</v>
      </c>
      <c r="C242" s="4">
        <v>9.0620752152242867E-4</v>
      </c>
    </row>
    <row r="243" spans="1:3">
      <c r="A243" s="3">
        <v>46085</v>
      </c>
      <c r="B243" s="4">
        <v>1.127369777286958E-2</v>
      </c>
      <c r="C243" s="4">
        <v>0</v>
      </c>
    </row>
    <row r="244" spans="1:3">
      <c r="A244" s="3">
        <v>46087</v>
      </c>
      <c r="B244" s="4">
        <v>-5.3193971349914364E-3</v>
      </c>
      <c r="C244" s="4">
        <v>2.2552999548940008E-3</v>
      </c>
    </row>
    <row r="245" spans="1:3">
      <c r="A245" s="3">
        <v>46090</v>
      </c>
      <c r="B245" s="4">
        <v>1.1994144590829635E-2</v>
      </c>
      <c r="C245" s="4">
        <v>1.7712870750266926E-3</v>
      </c>
    </row>
    <row r="246" spans="1:3">
      <c r="A246" s="3">
        <v>46091</v>
      </c>
      <c r="B246" s="4">
        <v>0</v>
      </c>
      <c r="C246" s="4">
        <v>0</v>
      </c>
    </row>
    <row r="247" spans="1:3">
      <c r="A247" s="5"/>
      <c r="B247" s="4"/>
    </row>
    <row r="248" spans="1:3">
      <c r="A248" s="5"/>
      <c r="B248" s="4"/>
    </row>
    <row r="249" spans="1:3">
      <c r="A249" s="5"/>
      <c r="B249" s="4"/>
    </row>
    <row r="250" spans="1:3">
      <c r="A250" s="5"/>
      <c r="B250" s="4"/>
    </row>
    <row r="251" spans="1:3">
      <c r="A251" s="5"/>
      <c r="B251" s="4"/>
    </row>
    <row r="252" spans="1:3">
      <c r="A252" s="5"/>
    </row>
    <row r="253" spans="1:3">
      <c r="A253" s="5"/>
    </row>
    <row r="254" spans="1:3">
      <c r="A254" s="5"/>
    </row>
    <row r="255" spans="1:3">
      <c r="A255" s="5"/>
    </row>
    <row r="256" spans="1:3">
      <c r="A256" s="5"/>
    </row>
    <row r="257" spans="1:1">
      <c r="A257" s="5"/>
    </row>
    <row r="258" spans="1:1">
      <c r="A258" s="5"/>
    </row>
    <row r="259" spans="1:1">
      <c r="A259" s="5"/>
    </row>
    <row r="260" spans="1:1">
      <c r="A260" s="5"/>
    </row>
    <row r="261" spans="1:1">
      <c r="A261" s="5"/>
    </row>
    <row r="262" spans="1:1">
      <c r="A262" s="5"/>
    </row>
    <row r="263" spans="1:1">
      <c r="A263" s="5"/>
    </row>
    <row r="264" spans="1:1">
      <c r="A264" s="5"/>
    </row>
    <row r="265" spans="1:1">
      <c r="A265" s="5"/>
    </row>
    <row r="266" spans="1:1">
      <c r="A266" s="5"/>
    </row>
    <row r="267" spans="1:1">
      <c r="A267" s="5"/>
    </row>
    <row r="268" spans="1:1">
      <c r="A268" s="5"/>
    </row>
    <row r="269" spans="1:1">
      <c r="A269" s="6"/>
    </row>
    <row r="270" spans="1:1">
      <c r="A270" s="6"/>
    </row>
    <row r="271" spans="1:1">
      <c r="A271" s="6"/>
    </row>
    <row r="272" spans="1:1">
      <c r="A272" s="6"/>
    </row>
    <row r="273" spans="1:1">
      <c r="A273" s="6"/>
    </row>
    <row r="274" spans="1:1">
      <c r="A274" s="6"/>
    </row>
    <row r="275" spans="1:1">
      <c r="A275" s="6"/>
    </row>
    <row r="276" spans="1:1">
      <c r="A276" s="6"/>
    </row>
    <row r="277" spans="1:1">
      <c r="A277" s="6"/>
    </row>
    <row r="278" spans="1:1">
      <c r="A278" s="6"/>
    </row>
    <row r="279" spans="1:1">
      <c r="A279" s="6"/>
    </row>
    <row r="280" spans="1:1">
      <c r="A280" s="6"/>
    </row>
    <row r="281" spans="1:1">
      <c r="A281" s="6"/>
    </row>
    <row r="282" spans="1:1">
      <c r="A282" s="6"/>
    </row>
    <row r="283" spans="1:1">
      <c r="A283" s="6"/>
    </row>
    <row r="284" spans="1:1">
      <c r="A284" s="6"/>
    </row>
    <row r="285" spans="1:1">
      <c r="A285" s="6"/>
    </row>
    <row r="286" spans="1:1">
      <c r="A286" s="6"/>
    </row>
    <row r="287" spans="1:1">
      <c r="A287" s="6"/>
    </row>
    <row r="288" spans="1:1">
      <c r="A288" s="6"/>
    </row>
    <row r="289" spans="1:1">
      <c r="A289" s="6"/>
    </row>
    <row r="290" spans="1:1">
      <c r="A290" s="6"/>
    </row>
    <row r="291" spans="1:1">
      <c r="A291" s="6"/>
    </row>
    <row r="292" spans="1:1">
      <c r="A292" s="6"/>
    </row>
    <row r="293" spans="1:1">
      <c r="A293" s="6"/>
    </row>
    <row r="294" spans="1:1">
      <c r="A294" s="6"/>
    </row>
    <row r="295" spans="1:1">
      <c r="A295" s="6"/>
    </row>
    <row r="296" spans="1:1">
      <c r="A296" s="6"/>
    </row>
    <row r="297" spans="1:1">
      <c r="A297" s="6"/>
    </row>
    <row r="298" spans="1:1">
      <c r="A298" s="6"/>
    </row>
    <row r="299" spans="1:1">
      <c r="A299" s="6"/>
    </row>
    <row r="300" spans="1:1">
      <c r="A300" s="6"/>
    </row>
    <row r="301" spans="1:1">
      <c r="A301" s="6"/>
    </row>
    <row r="302" spans="1:1">
      <c r="A302" s="6"/>
    </row>
    <row r="303" spans="1:1">
      <c r="A303" s="6"/>
    </row>
    <row r="304" spans="1:1">
      <c r="A304" s="6"/>
    </row>
    <row r="305" spans="1:1">
      <c r="A305" s="6"/>
    </row>
    <row r="306" spans="1:1">
      <c r="A306" s="6"/>
    </row>
    <row r="307" spans="1:1">
      <c r="A307" s="6"/>
    </row>
    <row r="308" spans="1:1">
      <c r="A308" s="6"/>
    </row>
    <row r="309" spans="1:1">
      <c r="A309" s="6"/>
    </row>
    <row r="310" spans="1:1">
      <c r="A310" s="6"/>
    </row>
    <row r="311" spans="1:1">
      <c r="A311" s="6"/>
    </row>
    <row r="312" spans="1:1">
      <c r="A312" s="6"/>
    </row>
    <row r="313" spans="1:1">
      <c r="A313" s="6"/>
    </row>
    <row r="314" spans="1:1">
      <c r="A314" s="6"/>
    </row>
    <row r="315" spans="1:1">
      <c r="A315" s="6"/>
    </row>
    <row r="316" spans="1:1">
      <c r="A316" s="6"/>
    </row>
    <row r="317" spans="1:1">
      <c r="A317" s="6"/>
    </row>
    <row r="318" spans="1:1">
      <c r="A318" s="6"/>
    </row>
    <row r="319" spans="1:1">
      <c r="A319" s="6"/>
    </row>
    <row r="320" spans="1:1">
      <c r="A320" s="6"/>
    </row>
    <row r="321" spans="1:1">
      <c r="A321" s="6"/>
    </row>
    <row r="322" spans="1:1">
      <c r="A322" s="6"/>
    </row>
    <row r="323" spans="1:1">
      <c r="A323" s="6"/>
    </row>
    <row r="324" spans="1:1">
      <c r="A324" s="6"/>
    </row>
    <row r="325" spans="1:1">
      <c r="A325" s="6"/>
    </row>
    <row r="326" spans="1:1">
      <c r="A326" s="6"/>
    </row>
    <row r="327" spans="1:1">
      <c r="A327" s="6"/>
    </row>
    <row r="328" spans="1:1">
      <c r="A328" s="6"/>
    </row>
    <row r="329" spans="1:1">
      <c r="A329" s="6"/>
    </row>
    <row r="330" spans="1:1">
      <c r="A330" s="6"/>
    </row>
    <row r="331" spans="1:1">
      <c r="A331" s="6"/>
    </row>
    <row r="332" spans="1:1">
      <c r="A332" s="6"/>
    </row>
    <row r="333" spans="1:1">
      <c r="A333" s="6"/>
    </row>
    <row r="334" spans="1:1">
      <c r="A334" s="6"/>
    </row>
    <row r="335" spans="1:1">
      <c r="A335" s="6"/>
    </row>
    <row r="336" spans="1:1">
      <c r="A336" s="6"/>
    </row>
    <row r="337" spans="1:1">
      <c r="A337" s="6"/>
    </row>
    <row r="338" spans="1:1">
      <c r="A338" s="6"/>
    </row>
    <row r="339" spans="1:1">
      <c r="A339" s="6"/>
    </row>
    <row r="340" spans="1:1">
      <c r="A340" s="6"/>
    </row>
    <row r="341" spans="1:1">
      <c r="A341" s="6"/>
    </row>
    <row r="342" spans="1:1">
      <c r="A342" s="6"/>
    </row>
    <row r="343" spans="1:1">
      <c r="A343" s="6"/>
    </row>
    <row r="344" spans="1:1">
      <c r="A344" s="6"/>
    </row>
    <row r="345" spans="1:1">
      <c r="A345" s="6"/>
    </row>
    <row r="346" spans="1:1">
      <c r="A346" s="6"/>
    </row>
    <row r="347" spans="1:1">
      <c r="A347" s="6"/>
    </row>
    <row r="348" spans="1:1">
      <c r="A348" s="6"/>
    </row>
    <row r="349" spans="1:1">
      <c r="A349" s="6"/>
    </row>
    <row r="350" spans="1:1">
      <c r="A350" s="6"/>
    </row>
    <row r="351" spans="1:1">
      <c r="A351" s="6"/>
    </row>
    <row r="352" spans="1:1">
      <c r="A352" s="6"/>
    </row>
    <row r="353" spans="1:1">
      <c r="A353" s="6"/>
    </row>
    <row r="354" spans="1:1">
      <c r="A354" s="6"/>
    </row>
    <row r="355" spans="1:1">
      <c r="A355" s="6"/>
    </row>
    <row r="356" spans="1:1">
      <c r="A356" s="6"/>
    </row>
    <row r="357" spans="1:1">
      <c r="A357" s="6"/>
    </row>
    <row r="358" spans="1:1">
      <c r="A358" s="6"/>
    </row>
    <row r="359" spans="1:1">
      <c r="A359" s="6"/>
    </row>
    <row r="360" spans="1:1">
      <c r="A360" s="6"/>
    </row>
    <row r="361" spans="1:1">
      <c r="A361" s="6"/>
    </row>
    <row r="362" spans="1:1">
      <c r="A362" s="6"/>
    </row>
    <row r="363" spans="1:1">
      <c r="A363" s="6"/>
    </row>
    <row r="364" spans="1:1">
      <c r="A364" s="6"/>
    </row>
    <row r="365" spans="1:1">
      <c r="A365" s="6"/>
    </row>
    <row r="366" spans="1:1">
      <c r="A366" s="6"/>
    </row>
    <row r="367" spans="1:1">
      <c r="A367" s="6"/>
    </row>
    <row r="368" spans="1:1">
      <c r="A368" s="6"/>
    </row>
    <row r="369" spans="1:1">
      <c r="A369" s="6"/>
    </row>
    <row r="370" spans="1:1">
      <c r="A370" s="6"/>
    </row>
    <row r="371" spans="1:1">
      <c r="A371" s="6"/>
    </row>
    <row r="372" spans="1:1">
      <c r="A372" s="6"/>
    </row>
    <row r="373" spans="1:1">
      <c r="A373" s="6"/>
    </row>
    <row r="374" spans="1:1">
      <c r="A374" s="6"/>
    </row>
    <row r="375" spans="1:1">
      <c r="A375" s="6"/>
    </row>
    <row r="376" spans="1:1">
      <c r="A376" s="6"/>
    </row>
    <row r="377" spans="1:1">
      <c r="A377" s="6"/>
    </row>
    <row r="378" spans="1:1">
      <c r="A378" s="6"/>
    </row>
    <row r="379" spans="1:1">
      <c r="A379" s="6"/>
    </row>
    <row r="380" spans="1:1">
      <c r="A380" s="6"/>
    </row>
    <row r="381" spans="1:1">
      <c r="A381" s="6"/>
    </row>
    <row r="382" spans="1:1">
      <c r="A382" s="6"/>
    </row>
    <row r="383" spans="1:1">
      <c r="A383" s="7"/>
    </row>
  </sheetData>
  <mergeCells count="1"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2026-03-11T09:03:15Z</dcterms:created>
  <dcterms:modified xsi:type="dcterms:W3CDTF">2026-03-11T12:38:44Z</dcterms:modified>
  <cp:category/>
  <cp:contentStatus/>
</cp:coreProperties>
</file>
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66925"/>
  <xr:revisionPtr revIDLastSave="0" documentId="8_{BF5E9F7C-422C-4FCE-83A7-30D896CBD19E}" xr6:coauthVersionLast="47" xr6:coauthVersionMax="47" xr10:uidLastSave="{00000000-0000-0000-0000-000000000000}"/>
  <bookViews>
    <workbookView xWindow="240" yWindow="105" windowWidth="14805" windowHeight="8010" activeTab="2" xr2:uid="{00000000-000D-0000-FFFF-FFFF00000000}"/>
  </bookViews>
  <sheets>
    <sheet name="One cohort" sheetId="2" r:id="rId1"/>
    <sheet name="Deciles" sheetId="3" r:id="rId2"/>
    <sheet name="THREE COHORTS" sheetId="4" r:id="rId3"/>
    <sheet name="YEARLY SUMMARIES"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4" l="1"/>
  <c r="Q5" i="4"/>
  <c r="Q6" i="4"/>
  <c r="Q7" i="4"/>
  <c r="Q8" i="4"/>
  <c r="Q9" i="4"/>
  <c r="Q10" i="4"/>
  <c r="Q11" i="4"/>
  <c r="R3" i="4"/>
  <c r="Q3" i="4"/>
  <c r="J4" i="4"/>
  <c r="J5" i="4"/>
  <c r="J6" i="4"/>
  <c r="J7" i="4"/>
  <c r="J8" i="4"/>
  <c r="J9" i="4"/>
  <c r="J10" i="4"/>
  <c r="J11" i="4"/>
  <c r="J12" i="4"/>
  <c r="J13" i="4"/>
  <c r="J14" i="4"/>
  <c r="J15" i="4"/>
  <c r="J3" i="4"/>
  <c r="C3" i="4"/>
  <c r="C5" i="4"/>
  <c r="C6" i="4"/>
  <c r="C7" i="4"/>
  <c r="C8" i="4"/>
  <c r="C9" i="4"/>
  <c r="C10" i="4"/>
  <c r="C11" i="4"/>
  <c r="C12" i="4"/>
  <c r="C13" i="4"/>
  <c r="C14" i="4"/>
  <c r="C15" i="4"/>
  <c r="C16" i="4"/>
  <c r="C4" i="4"/>
  <c r="E14" i="3"/>
  <c r="D14" i="3"/>
  <c r="C14" i="3"/>
  <c r="B14" i="3"/>
  <c r="B5" i="2"/>
  <c r="B3" i="2"/>
  <c r="B4" i="2"/>
  <c r="B6" i="2"/>
  <c r="B7" i="2"/>
  <c r="B8" i="2"/>
  <c r="B9" i="2"/>
  <c r="B10" i="2"/>
  <c r="B11" i="2"/>
  <c r="B12" i="2"/>
  <c r="B13" i="2"/>
  <c r="B14" i="2"/>
  <c r="B15" i="2"/>
  <c r="B2" i="2"/>
</calcChain>
</file>

<file path=xl/sharedStrings.xml><?xml version="1.0" encoding="utf-8"?>
<sst xmlns="http://schemas.openxmlformats.org/spreadsheetml/2006/main" count="94" uniqueCount="37">
  <si>
    <t>Quarter</t>
  </si>
  <si>
    <t>Active Customers %</t>
  </si>
  <si>
    <t>Customers</t>
  </si>
  <si>
    <t>Transactions</t>
  </si>
  <si>
    <t>Revenue</t>
  </si>
  <si>
    <t>Profit</t>
  </si>
  <si>
    <t>2021Q1</t>
  </si>
  <si>
    <t>2021Q2</t>
  </si>
  <si>
    <t>2021Q3</t>
  </si>
  <si>
    <t>2021Q4</t>
  </si>
  <si>
    <t>2022Q1</t>
  </si>
  <si>
    <t>2022Q2</t>
  </si>
  <si>
    <t>2022Q3</t>
  </si>
  <si>
    <t>2022Q4</t>
  </si>
  <si>
    <t>2023Q1</t>
  </si>
  <si>
    <t>2023Q2</t>
  </si>
  <si>
    <t>2023Q3</t>
  </si>
  <si>
    <t>2023Q4</t>
  </si>
  <si>
    <t>2024Q1</t>
  </si>
  <si>
    <t>2024Q2</t>
  </si>
  <si>
    <r>
      <rPr>
        <b/>
        <sz val="11"/>
        <color rgb="FF000000"/>
        <rFont val="Calibri"/>
        <scheme val="minor"/>
      </rPr>
      <t xml:space="preserve">Insights
</t>
    </r>
    <r>
      <rPr>
        <sz val="11"/>
        <color rgb="FF000000"/>
        <rFont val="Calibri"/>
        <scheme val="minor"/>
      </rPr>
      <t xml:space="preserve">
Customer activity declines significantly after the first quarter,
which indicates normal customer churn after acquisition.
After the initial drop, the number of active customers stabilizes,
suggesting a loyal core group of returning customers.
Revenue and profit fluctuate across quarters,
which may indicate seasonal purchasing behavior.</t>
    </r>
  </si>
  <si>
    <t>Decile</t>
  </si>
  <si>
    <t># Customers</t>
  </si>
  <si>
    <t>Total Transactions</t>
  </si>
  <si>
    <t>SUM</t>
  </si>
  <si>
    <t>Insights
Top deciles generate a disproportionately large share of total revenue and profit.
This suggests that the company relies strongly on a relatively small group of highly valuable customers.
Lower deciles contribute much less to profitability.</t>
  </si>
  <si>
    <t>Table 1. Customer Decile Analysis by Total Profitability in 2024</t>
  </si>
  <si>
    <t>Q3 2021</t>
  </si>
  <si>
    <t>Q4 2021</t>
  </si>
  <si>
    <t>Q4 2022</t>
  </si>
  <si>
    <t>Active%</t>
  </si>
  <si>
    <t>2024Q3</t>
  </si>
  <si>
    <t>2024Q4</t>
  </si>
  <si>
    <r>
      <rPr>
        <b/>
        <sz val="11"/>
        <color rgb="FF000000"/>
        <rFont val="Calibri"/>
        <scheme val="minor"/>
      </rPr>
      <t xml:space="preserve">Insights
</t>
    </r>
    <r>
      <rPr>
        <sz val="11"/>
        <color rgb="FF000000"/>
        <rFont val="Calibri"/>
        <scheme val="minor"/>
      </rPr>
      <t>Different cohorts show different levels of retention and revenue contribution over time.
The Q4 2021 and Q4 2022 cohorts appear larger and generate higher revenue than the Q3 2021 cohort.
This suggests that customer acquisition quality and customer behavior may vary across entry periods.</t>
    </r>
  </si>
  <si>
    <t>Table 4 Yearly Summaries for All Cohorts of Customers, Including Those Acquired Before 2021</t>
  </si>
  <si>
    <t>Pre-2021</t>
  </si>
  <si>
    <r>
      <rPr>
        <b/>
        <sz val="11"/>
        <color rgb="FF000000"/>
        <rFont val="Calibri"/>
        <scheme val="minor"/>
      </rPr>
      <t xml:space="preserve">Insights
</t>
    </r>
    <r>
      <rPr>
        <sz val="11"/>
        <color rgb="FF000000"/>
        <rFont val="Calibri"/>
        <scheme val="minor"/>
      </rPr>
      <t>Revenue patterns differ strongly by customer acquisition year.
Customers acquired earlier continue generating revenue in later years, which shows long-term customer value.
Newer cohorts contribute most strongly in their acquisition year, while older cohorts remain an important source of recurring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</si>
</sst>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000000"/>
      <name val="Calibri"/>
      <family val="2"/>
      <scheme val="minor"/>
    </font>
    <font>
      <sz val="11"/>
      <color rgb="FF000000"/>
      <name val="Calibri"/>
      <family val="2"/>
      <scheme val="minor"/>
    </font>
    <font>
      <sz val="13.5"/>
      <color rgb="FF000000"/>
      <name val="Calibri"/>
      <family val="2"/>
      <scheme val="minor"/>
    </font>
    <font>
      <b/>
      <sz val="11"/>
      <color rgb="FF000000"/>
      <name val="Calibri"/>
      <scheme val="minor"/>
    </font>
    <font>
      <sz val="11"/>
      <color rgb="FF000000"/>
      <name val="Calibri"/>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9">
    <border>
      <left/>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s>
  <cellStyleXfs count="1">
    <xf numFmtId="0" fontId="0" fillId="0" borderId="0"/>
  </cellStyleXfs>
  <cellXfs count="34">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center" wrapText="1"/>
    </xf>
    <xf numFmtId="0" fontId="2" fillId="0" borderId="0" xfId="0" applyFont="1" applyAlignment="1">
      <alignment horizontal="center" wrapText="1"/>
    </xf>
    <xf numFmtId="0" fontId="0" fillId="0" borderId="0" xfId="0" applyAlignment="1">
      <alignment horizontal="center"/>
    </xf>
    <xf numFmtId="0" fontId="0" fillId="0" borderId="0" xfId="0" applyBorder="1" applyAlignment="1">
      <alignment horizontal="center"/>
    </xf>
    <xf numFmtId="0" fontId="5" fillId="0" borderId="1" xfId="0" applyFont="1"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0" fontId="3" fillId="0" borderId="0" xfId="0" applyNumberFormat="1" applyFont="1"/>
    <xf numFmtId="10" fontId="0" fillId="0" borderId="0" xfId="0" applyNumberFormat="1"/>
    <xf numFmtId="0" fontId="6" fillId="0" borderId="0" xfId="0" applyFont="1" applyAlignment="1">
      <alignment horizontal="center"/>
    </xf>
    <xf numFmtId="0" fontId="0" fillId="0" borderId="0" xfId="0"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xf>
    <xf numFmtId="10" fontId="0" fillId="0" borderId="0" xfId="0" applyNumberFormat="1" applyAlignment="1">
      <alignment horizontal="center"/>
    </xf>
    <xf numFmtId="0" fontId="0" fillId="0" borderId="0" xfId="0" applyAlignment="1">
      <alignment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0"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10" fontId="1" fillId="2" borderId="0" xfId="0" applyNumberFormat="1" applyFont="1" applyFill="1" applyAlignment="1">
      <alignment horizontal="center" wrapText="1"/>
    </xf>
    <xf numFmtId="10" fontId="2" fillId="2" borderId="0" xfId="0" applyNumberFormat="1" applyFont="1" applyFill="1"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'One cohort'!$B$1</c:f>
              <c:strCache>
                <c:ptCount val="1"/>
                <c:pt idx="0">
                  <c:v>Active Customers %</c:v>
                </c:pt>
              </c:strCache>
            </c:strRef>
          </c:tx>
          <c:spPr>
            <a:ln w="28575" cap="rnd">
              <a:solidFill>
                <a:schemeClr val="accent1"/>
              </a:solidFill>
              <a:round/>
            </a:ln>
            <a:effectLst/>
          </c:spPr>
          <c:marker>
            <c:symbol val="none"/>
          </c:marker>
          <c:cat>
            <c:strRef>
              <c:f>'One cohort'!$A$2:$A$15</c:f>
              <c:strCache>
                <c:ptCount val="14"/>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pt idx="12">
                  <c:v>2024Q1</c:v>
                </c:pt>
                <c:pt idx="13">
                  <c:v>2024Q2</c:v>
                </c:pt>
              </c:strCache>
            </c:strRef>
          </c:cat>
          <c:val>
            <c:numRef>
              <c:f>'One cohort'!$B$2:$B$15</c:f>
              <c:numCache>
                <c:formatCode>0.00%</c:formatCode>
                <c:ptCount val="14"/>
                <c:pt idx="0">
                  <c:v>1</c:v>
                </c:pt>
                <c:pt idx="1">
                  <c:v>0.11756710839279647</c:v>
                </c:pt>
                <c:pt idx="2">
                  <c:v>0.10635406048250085</c:v>
                </c:pt>
                <c:pt idx="3">
                  <c:v>0.16479782534828408</c:v>
                </c:pt>
                <c:pt idx="4">
                  <c:v>0.10057764186204553</c:v>
                </c:pt>
                <c:pt idx="5">
                  <c:v>9.717974855589534E-2</c:v>
                </c:pt>
                <c:pt idx="6">
                  <c:v>8.3248386000679575E-2</c:v>
                </c:pt>
                <c:pt idx="7">
                  <c:v>0.14271151885830785</c:v>
                </c:pt>
                <c:pt idx="8">
                  <c:v>0.10601427115188583</c:v>
                </c:pt>
                <c:pt idx="9">
                  <c:v>9.5480801902820253E-2</c:v>
                </c:pt>
                <c:pt idx="10">
                  <c:v>7.4753652735304113E-2</c:v>
                </c:pt>
                <c:pt idx="11">
                  <c:v>0.1216445803601767</c:v>
                </c:pt>
                <c:pt idx="12">
                  <c:v>8.290859667006456E-2</c:v>
                </c:pt>
                <c:pt idx="13">
                  <c:v>8.0190282025144416E-2</c:v>
                </c:pt>
              </c:numCache>
            </c:numRef>
          </c:val>
          <c:smooth val="0"/>
          <c:extLst>
            <c:ext xmlns:c16="http://schemas.microsoft.com/office/drawing/2014/chart" uri="{C3380CC4-5D6E-409C-BE32-E72D297353CC}">
              <c16:uniqueId val="{00000000-6214-4802-BDD4-317ACBD30A4A}"/>
            </c:ext>
          </c:extLst>
        </c:ser>
        <c:dLbls>
          <c:showLegendKey val="0"/>
          <c:showVal val="0"/>
          <c:showCatName val="0"/>
          <c:showSerName val="0"/>
          <c:showPercent val="0"/>
          <c:showBubbleSize val="0"/>
        </c:dLbls>
        <c:smooth val="0"/>
        <c:axId val="642642439"/>
        <c:axId val="642644487"/>
      </c:lineChart>
      <c:catAx>
        <c:axId val="642642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44487"/>
        <c:crosses val="autoZero"/>
        <c:auto val="1"/>
        <c:lblAlgn val="ctr"/>
        <c:lblOffset val="100"/>
        <c:noMultiLvlLbl val="0"/>
      </c:catAx>
      <c:valAx>
        <c:axId val="642644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42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57150</xdr:colOff>
      <xdr:row>1</xdr:row>
      <xdr:rowOff>171450</xdr:rowOff>
    </xdr:from>
    <xdr:to>
      <xdr:col>14</xdr:col>
      <xdr:colOff>361950</xdr:colOff>
      <xdr:row>16</xdr:row>
      <xdr:rowOff>57150</xdr:rowOff>
    </xdr:to>
    <xdr:graphicFrame macro="">
      <xdr:nvGraphicFramePr>
        <xdr:cNvPr id="2" name="Chart 1">
          <a:extLst>
            <a:ext uri="{FF2B5EF4-FFF2-40B4-BE49-F238E27FC236}">
              <a16:creationId xmlns:a16="http://schemas.microsoft.com/office/drawing/2014/main" id="{76846F4F-356E-CEDE-82A2-456419F14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DC54A-C800-4541-9C8D-2EE4280CC6C3}">
  <dimension ref="A1:O23"/>
  <sheetViews>
    <sheetView workbookViewId="0">
      <selection activeCell="C23" sqref="C23"/>
    </sheetView>
  </sheetViews>
  <sheetFormatPr defaultRowHeight="15"/>
  <cols>
    <col min="1" max="1" width="12.5703125" style="5" customWidth="1"/>
    <col min="2" max="2" width="21.85546875" style="16" bestFit="1" customWidth="1"/>
    <col min="3" max="6" width="12.5703125" style="5" customWidth="1"/>
  </cols>
  <sheetData>
    <row r="1" spans="1:6" ht="18">
      <c r="A1" s="3" t="s">
        <v>0</v>
      </c>
      <c r="B1" s="15" t="s">
        <v>1</v>
      </c>
      <c r="C1" s="3" t="s">
        <v>2</v>
      </c>
      <c r="D1" s="3" t="s">
        <v>3</v>
      </c>
      <c r="E1" s="3" t="s">
        <v>4</v>
      </c>
      <c r="F1" s="3" t="s">
        <v>5</v>
      </c>
    </row>
    <row r="2" spans="1:6">
      <c r="A2" s="4" t="s">
        <v>6</v>
      </c>
      <c r="B2" s="16">
        <f>C2/2943</f>
        <v>1</v>
      </c>
      <c r="C2" s="4">
        <v>2943</v>
      </c>
      <c r="D2" s="4">
        <v>3683</v>
      </c>
      <c r="E2" s="4">
        <v>21803980</v>
      </c>
      <c r="F2" s="4">
        <v>10398135</v>
      </c>
    </row>
    <row r="3" spans="1:6">
      <c r="A3" s="4" t="s">
        <v>7</v>
      </c>
      <c r="B3" s="16">
        <f>C3/2943</f>
        <v>0.11756710839279647</v>
      </c>
      <c r="C3" s="4">
        <v>346</v>
      </c>
      <c r="D3" s="4">
        <v>513</v>
      </c>
      <c r="E3" s="4">
        <v>2765015</v>
      </c>
      <c r="F3" s="4">
        <v>1386330</v>
      </c>
    </row>
    <row r="4" spans="1:6">
      <c r="A4" s="4" t="s">
        <v>8</v>
      </c>
      <c r="B4" s="16">
        <f t="shared" ref="B3:B15" si="0">C4/2943</f>
        <v>0.10635406048250085</v>
      </c>
      <c r="C4" s="4">
        <v>313</v>
      </c>
      <c r="D4" s="4">
        <v>451</v>
      </c>
      <c r="E4" s="4">
        <v>2352130</v>
      </c>
      <c r="F4" s="4">
        <v>1173700</v>
      </c>
    </row>
    <row r="5" spans="1:6">
      <c r="A5" s="4" t="s">
        <v>9</v>
      </c>
      <c r="B5" s="16">
        <f>C5/2943</f>
        <v>0.16479782534828408</v>
      </c>
      <c r="C5" s="4">
        <v>485</v>
      </c>
      <c r="D5" s="4">
        <v>819</v>
      </c>
      <c r="E5" s="4">
        <v>4692930</v>
      </c>
      <c r="F5" s="4">
        <v>2335300</v>
      </c>
    </row>
    <row r="6" spans="1:6">
      <c r="A6" s="4" t="s">
        <v>10</v>
      </c>
      <c r="B6" s="16">
        <f t="shared" si="0"/>
        <v>0.10057764186204553</v>
      </c>
      <c r="C6" s="4">
        <v>296</v>
      </c>
      <c r="D6" s="4">
        <v>435</v>
      </c>
      <c r="E6" s="4">
        <v>2411530</v>
      </c>
      <c r="F6" s="4">
        <v>1161600</v>
      </c>
    </row>
    <row r="7" spans="1:6">
      <c r="A7" s="4" t="s">
        <v>11</v>
      </c>
      <c r="B7" s="16">
        <f t="shared" si="0"/>
        <v>9.717974855589534E-2</v>
      </c>
      <c r="C7" s="4">
        <v>286</v>
      </c>
      <c r="D7" s="4">
        <v>453</v>
      </c>
      <c r="E7" s="4">
        <v>2186470</v>
      </c>
      <c r="F7" s="4">
        <v>1074425</v>
      </c>
    </row>
    <row r="8" spans="1:6">
      <c r="A8" s="4" t="s">
        <v>12</v>
      </c>
      <c r="B8" s="16">
        <f t="shared" si="0"/>
        <v>8.3248386000679575E-2</v>
      </c>
      <c r="C8" s="4">
        <v>245</v>
      </c>
      <c r="D8" s="4">
        <v>396</v>
      </c>
      <c r="E8" s="4">
        <v>2040280</v>
      </c>
      <c r="F8" s="4">
        <v>988295</v>
      </c>
    </row>
    <row r="9" spans="1:6">
      <c r="A9" s="4" t="s">
        <v>13</v>
      </c>
      <c r="B9" s="16">
        <f t="shared" si="0"/>
        <v>0.14271151885830785</v>
      </c>
      <c r="C9" s="4">
        <v>420</v>
      </c>
      <c r="D9" s="4">
        <v>808</v>
      </c>
      <c r="E9" s="4">
        <v>4619175</v>
      </c>
      <c r="F9" s="4">
        <v>2215950</v>
      </c>
    </row>
    <row r="10" spans="1:6">
      <c r="A10" s="4" t="s">
        <v>14</v>
      </c>
      <c r="B10" s="16">
        <f t="shared" si="0"/>
        <v>0.10601427115188583</v>
      </c>
      <c r="C10" s="4">
        <v>312</v>
      </c>
      <c r="D10" s="4">
        <v>481</v>
      </c>
      <c r="E10" s="4">
        <v>2391565</v>
      </c>
      <c r="F10" s="4">
        <v>1101815</v>
      </c>
    </row>
    <row r="11" spans="1:6">
      <c r="A11" s="4" t="s">
        <v>15</v>
      </c>
      <c r="B11" s="16">
        <f t="shared" si="0"/>
        <v>9.5480801902820253E-2</v>
      </c>
      <c r="C11" s="4">
        <v>281</v>
      </c>
      <c r="D11" s="4">
        <v>462</v>
      </c>
      <c r="E11" s="4">
        <v>2061895</v>
      </c>
      <c r="F11" s="4">
        <v>960080</v>
      </c>
    </row>
    <row r="12" spans="1:6">
      <c r="A12" s="4" t="s">
        <v>16</v>
      </c>
      <c r="B12" s="16">
        <f t="shared" si="0"/>
        <v>7.4753652735304113E-2</v>
      </c>
      <c r="C12" s="4">
        <v>220</v>
      </c>
      <c r="D12" s="4">
        <v>384</v>
      </c>
      <c r="E12" s="4">
        <v>1826220</v>
      </c>
      <c r="F12" s="4">
        <v>838310</v>
      </c>
    </row>
    <row r="13" spans="1:6">
      <c r="A13" s="4" t="s">
        <v>17</v>
      </c>
      <c r="B13" s="16">
        <f t="shared" si="0"/>
        <v>0.1216445803601767</v>
      </c>
      <c r="C13" s="4">
        <v>358</v>
      </c>
      <c r="D13" s="4">
        <v>722</v>
      </c>
      <c r="E13" s="4">
        <v>3652880</v>
      </c>
      <c r="F13" s="4">
        <v>1726835</v>
      </c>
    </row>
    <row r="14" spans="1:6">
      <c r="A14" s="4" t="s">
        <v>18</v>
      </c>
      <c r="B14" s="16">
        <f t="shared" si="0"/>
        <v>8.290859667006456E-2</v>
      </c>
      <c r="C14" s="4">
        <v>244</v>
      </c>
      <c r="D14" s="4">
        <v>397</v>
      </c>
      <c r="E14" s="4">
        <v>1945185</v>
      </c>
      <c r="F14" s="4">
        <v>908215</v>
      </c>
    </row>
    <row r="15" spans="1:6">
      <c r="A15" s="4" t="s">
        <v>19</v>
      </c>
      <c r="B15" s="16">
        <f t="shared" si="0"/>
        <v>8.0190282025144416E-2</v>
      </c>
      <c r="C15" s="4">
        <v>236</v>
      </c>
      <c r="D15" s="4"/>
    </row>
    <row r="19" spans="8:15">
      <c r="H19" s="7" t="s">
        <v>20</v>
      </c>
      <c r="I19" s="8"/>
      <c r="J19" s="8"/>
      <c r="K19" s="8"/>
      <c r="L19" s="8"/>
      <c r="M19" s="8"/>
      <c r="N19" s="8"/>
      <c r="O19" s="9"/>
    </row>
    <row r="20" spans="8:15">
      <c r="H20" s="10"/>
      <c r="I20" s="6"/>
      <c r="J20" s="6"/>
      <c r="K20" s="6"/>
      <c r="L20" s="6"/>
      <c r="M20" s="6"/>
      <c r="N20" s="6"/>
      <c r="O20" s="11"/>
    </row>
    <row r="21" spans="8:15">
      <c r="H21" s="10"/>
      <c r="I21" s="6"/>
      <c r="J21" s="6"/>
      <c r="K21" s="6"/>
      <c r="L21" s="6"/>
      <c r="M21" s="6"/>
      <c r="N21" s="6"/>
      <c r="O21" s="11"/>
    </row>
    <row r="22" spans="8:15">
      <c r="H22" s="10"/>
      <c r="I22" s="6"/>
      <c r="J22" s="6"/>
      <c r="K22" s="6"/>
      <c r="L22" s="6"/>
      <c r="M22" s="6"/>
      <c r="N22" s="6"/>
      <c r="O22" s="11"/>
    </row>
    <row r="23" spans="8:15" ht="101.25" customHeight="1">
      <c r="H23" s="12"/>
      <c r="I23" s="13"/>
      <c r="J23" s="13"/>
      <c r="K23" s="13"/>
      <c r="L23" s="13"/>
      <c r="M23" s="13"/>
      <c r="N23" s="13"/>
      <c r="O23" s="14"/>
    </row>
  </sheetData>
  <mergeCells count="1">
    <mergeCell ref="H19:O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749D7-8249-47C6-B576-780A10B9EADE}">
  <dimension ref="A1:M19"/>
  <sheetViews>
    <sheetView workbookViewId="0">
      <selection activeCell="G15" sqref="G15:M19"/>
    </sheetView>
  </sheetViews>
  <sheetFormatPr defaultRowHeight="15"/>
  <cols>
    <col min="1" max="5" width="12.42578125" style="5" customWidth="1"/>
  </cols>
  <sheetData>
    <row r="1" spans="1:13" ht="30.75">
      <c r="A1" s="3" t="s">
        <v>21</v>
      </c>
      <c r="B1" s="3" t="s">
        <v>22</v>
      </c>
      <c r="C1" s="3" t="s">
        <v>23</v>
      </c>
      <c r="D1" s="3" t="s">
        <v>4</v>
      </c>
      <c r="E1" s="3" t="s">
        <v>5</v>
      </c>
    </row>
    <row r="2" spans="1:13">
      <c r="A2" s="4">
        <v>1</v>
      </c>
      <c r="B2" s="4">
        <v>3180</v>
      </c>
      <c r="C2" s="4">
        <v>17503</v>
      </c>
      <c r="D2" s="4">
        <v>128952505</v>
      </c>
      <c r="E2" s="4">
        <v>62160175</v>
      </c>
    </row>
    <row r="3" spans="1:13">
      <c r="A3" s="4">
        <v>2</v>
      </c>
      <c r="B3" s="4">
        <v>3180</v>
      </c>
      <c r="C3" s="4">
        <v>8703</v>
      </c>
      <c r="D3" s="4">
        <v>55542905</v>
      </c>
      <c r="E3" s="4">
        <v>27079030</v>
      </c>
    </row>
    <row r="4" spans="1:13">
      <c r="A4" s="4">
        <v>3</v>
      </c>
      <c r="B4" s="4">
        <v>3177</v>
      </c>
      <c r="C4" s="4">
        <v>6345</v>
      </c>
      <c r="D4" s="4">
        <v>38274225</v>
      </c>
      <c r="E4" s="4">
        <v>18722055</v>
      </c>
    </row>
    <row r="5" spans="1:13">
      <c r="A5" s="4">
        <v>4</v>
      </c>
      <c r="B5" s="4">
        <v>3178</v>
      </c>
      <c r="C5" s="4">
        <v>5349</v>
      </c>
      <c r="D5" s="4">
        <v>29017010</v>
      </c>
      <c r="E5" s="4">
        <v>13916595</v>
      </c>
    </row>
    <row r="6" spans="1:13">
      <c r="A6" s="4">
        <v>5</v>
      </c>
      <c r="B6" s="4">
        <v>3183</v>
      </c>
      <c r="C6" s="4">
        <v>4683</v>
      </c>
      <c r="D6" s="4">
        <v>22555225</v>
      </c>
      <c r="E6" s="4">
        <v>10734405</v>
      </c>
    </row>
    <row r="7" spans="1:13">
      <c r="A7" s="4">
        <v>6</v>
      </c>
      <c r="B7" s="4">
        <v>3124</v>
      </c>
      <c r="C7" s="4">
        <v>4330</v>
      </c>
      <c r="D7" s="4">
        <v>17169955</v>
      </c>
      <c r="E7" s="4">
        <v>7948270</v>
      </c>
    </row>
    <row r="8" spans="1:13">
      <c r="A8" s="4">
        <v>7</v>
      </c>
      <c r="B8" s="4">
        <v>3233</v>
      </c>
      <c r="C8" s="4">
        <v>4004</v>
      </c>
      <c r="D8" s="4">
        <v>13470710</v>
      </c>
      <c r="E8" s="4">
        <v>6240025</v>
      </c>
    </row>
    <row r="9" spans="1:13">
      <c r="A9" s="4">
        <v>8</v>
      </c>
      <c r="B9" s="4">
        <v>2996</v>
      </c>
      <c r="C9" s="4">
        <v>3414</v>
      </c>
      <c r="D9" s="4">
        <v>9381075</v>
      </c>
      <c r="E9" s="4">
        <v>4326685</v>
      </c>
    </row>
    <row r="10" spans="1:13">
      <c r="A10" s="4">
        <v>9</v>
      </c>
      <c r="B10" s="4">
        <v>3360</v>
      </c>
      <c r="C10" s="4">
        <v>3659</v>
      </c>
      <c r="D10" s="4">
        <v>7496500</v>
      </c>
      <c r="E10" s="4">
        <v>3334100</v>
      </c>
    </row>
    <row r="11" spans="1:13">
      <c r="A11" s="4">
        <v>10</v>
      </c>
      <c r="B11" s="4">
        <v>3186</v>
      </c>
      <c r="C11" s="4">
        <v>3270</v>
      </c>
      <c r="D11" s="4">
        <v>3740550</v>
      </c>
      <c r="E11" s="4">
        <v>1554795</v>
      </c>
    </row>
    <row r="13" spans="1:13">
      <c r="B13" s="17" t="s">
        <v>24</v>
      </c>
      <c r="C13" s="17" t="s">
        <v>24</v>
      </c>
      <c r="D13" s="17" t="s">
        <v>24</v>
      </c>
      <c r="E13" s="17" t="s">
        <v>24</v>
      </c>
    </row>
    <row r="14" spans="1:13">
      <c r="B14" s="5">
        <f>SUM(B2:B11)</f>
        <v>31797</v>
      </c>
      <c r="C14" s="5">
        <f>SUM(C2:C11)</f>
        <v>61260</v>
      </c>
      <c r="D14" s="5">
        <f>SUM(D2:D11)</f>
        <v>325600660</v>
      </c>
      <c r="E14" s="5">
        <f>SUM(E2:E11)</f>
        <v>156016135</v>
      </c>
    </row>
    <row r="15" spans="1:13">
      <c r="A15" s="18"/>
      <c r="B15" s="18"/>
      <c r="C15" s="18"/>
      <c r="D15" s="18"/>
      <c r="E15" s="18"/>
      <c r="F15" s="18"/>
      <c r="G15" s="23" t="s">
        <v>25</v>
      </c>
      <c r="H15" s="24"/>
      <c r="I15" s="24"/>
      <c r="J15" s="24"/>
      <c r="K15" s="24"/>
      <c r="L15" s="24"/>
      <c r="M15" s="25"/>
    </row>
    <row r="16" spans="1:13">
      <c r="A16" s="19" t="s">
        <v>26</v>
      </c>
      <c r="B16" s="19"/>
      <c r="C16" s="19"/>
      <c r="D16" s="19"/>
      <c r="E16" s="19"/>
      <c r="F16" s="20"/>
      <c r="G16" s="26"/>
      <c r="H16" s="27"/>
      <c r="I16" s="27"/>
      <c r="J16" s="27"/>
      <c r="K16" s="27"/>
      <c r="L16" s="27"/>
      <c r="M16" s="28"/>
    </row>
    <row r="17" spans="1:13">
      <c r="A17" s="19"/>
      <c r="B17" s="19"/>
      <c r="C17" s="19"/>
      <c r="D17" s="19"/>
      <c r="E17" s="19"/>
      <c r="F17" s="20"/>
      <c r="G17" s="26"/>
      <c r="H17" s="27"/>
      <c r="I17" s="27"/>
      <c r="J17" s="27"/>
      <c r="K17" s="27"/>
      <c r="L17" s="27"/>
      <c r="M17" s="28"/>
    </row>
    <row r="18" spans="1:13">
      <c r="A18" s="18"/>
      <c r="B18" s="18"/>
      <c r="C18" s="18"/>
      <c r="D18" s="18"/>
      <c r="E18" s="18"/>
      <c r="F18" s="18"/>
      <c r="G18" s="26"/>
      <c r="H18" s="27"/>
      <c r="I18" s="27"/>
      <c r="J18" s="27"/>
      <c r="K18" s="27"/>
      <c r="L18" s="27"/>
      <c r="M18" s="28"/>
    </row>
    <row r="19" spans="1:13" ht="62.25" customHeight="1">
      <c r="A19" s="18"/>
      <c r="B19" s="18"/>
      <c r="C19" s="18"/>
      <c r="D19" s="18"/>
      <c r="E19" s="18"/>
      <c r="F19" s="18"/>
      <c r="G19" s="29"/>
      <c r="H19" s="30"/>
      <c r="I19" s="30"/>
      <c r="J19" s="30"/>
      <c r="K19" s="30"/>
      <c r="L19" s="30"/>
      <c r="M19" s="31"/>
    </row>
  </sheetData>
  <mergeCells count="2">
    <mergeCell ref="A16:E17"/>
    <mergeCell ref="G15:M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98FA-C61D-4308-AD0D-345FEC5E784A}">
  <dimension ref="A1:T27"/>
  <sheetViews>
    <sheetView tabSelected="1" workbookViewId="0">
      <selection activeCell="O1" sqref="O1"/>
    </sheetView>
  </sheetViews>
  <sheetFormatPr defaultRowHeight="15"/>
  <cols>
    <col min="1" max="2" width="11.7109375" style="5" customWidth="1"/>
    <col min="3" max="3" width="11.7109375" style="21" customWidth="1"/>
    <col min="4" max="6" width="11.7109375" style="5" customWidth="1"/>
    <col min="8" max="9" width="10.5703125" style="5" customWidth="1"/>
    <col min="10" max="10" width="10.5703125" style="21" customWidth="1"/>
    <col min="11" max="13" width="10.5703125" style="5" customWidth="1"/>
    <col min="15" max="16" width="11.28515625" style="5" customWidth="1"/>
    <col min="17" max="17" width="11.28515625" style="21" customWidth="1"/>
    <col min="18" max="20" width="11.28515625" style="5" customWidth="1"/>
  </cols>
  <sheetData>
    <row r="1" spans="1:20">
      <c r="A1" s="17" t="s">
        <v>27</v>
      </c>
      <c r="H1" s="17" t="s">
        <v>28</v>
      </c>
      <c r="O1" s="17" t="s">
        <v>29</v>
      </c>
    </row>
    <row r="2" spans="1:20" ht="45.75">
      <c r="A2" s="3" t="s">
        <v>0</v>
      </c>
      <c r="B2" s="3" t="s">
        <v>22</v>
      </c>
      <c r="C2" s="32" t="s">
        <v>30</v>
      </c>
      <c r="D2" s="3" t="s">
        <v>23</v>
      </c>
      <c r="E2" s="3" t="s">
        <v>4</v>
      </c>
      <c r="F2" s="3" t="s">
        <v>5</v>
      </c>
      <c r="H2" s="3" t="s">
        <v>0</v>
      </c>
      <c r="I2" s="3" t="s">
        <v>22</v>
      </c>
      <c r="J2" s="32" t="s">
        <v>30</v>
      </c>
      <c r="K2" s="3" t="s">
        <v>23</v>
      </c>
      <c r="L2" s="3" t="s">
        <v>4</v>
      </c>
      <c r="M2" s="3" t="s">
        <v>5</v>
      </c>
      <c r="O2" s="3" t="s">
        <v>0</v>
      </c>
      <c r="P2" s="3" t="s">
        <v>22</v>
      </c>
      <c r="Q2" s="32" t="s">
        <v>30</v>
      </c>
      <c r="R2" s="3" t="s">
        <v>23</v>
      </c>
      <c r="S2" s="3" t="s">
        <v>4</v>
      </c>
      <c r="T2" s="3" t="s">
        <v>5</v>
      </c>
    </row>
    <row r="3" spans="1:20">
      <c r="A3" s="4" t="s">
        <v>8</v>
      </c>
      <c r="B3" s="4">
        <v>2842</v>
      </c>
      <c r="C3" s="33">
        <f>B3/$B$3</f>
        <v>1</v>
      </c>
      <c r="D3" s="4">
        <v>3593</v>
      </c>
      <c r="E3" s="4">
        <v>18866045</v>
      </c>
      <c r="F3" s="4">
        <v>9389215</v>
      </c>
      <c r="H3" s="4" t="s">
        <v>9</v>
      </c>
      <c r="I3" s="4">
        <v>6161</v>
      </c>
      <c r="J3" s="33">
        <f>I3/$I$3</f>
        <v>1</v>
      </c>
      <c r="K3" s="4">
        <v>7980</v>
      </c>
      <c r="L3" s="4">
        <v>50815985</v>
      </c>
      <c r="M3" s="4">
        <v>26164050</v>
      </c>
      <c r="O3" s="4" t="s">
        <v>13</v>
      </c>
      <c r="P3" s="4">
        <v>5881</v>
      </c>
      <c r="Q3" s="33">
        <f>P3/$P$3</f>
        <v>1</v>
      </c>
      <c r="R3" s="4">
        <f>Q3/$P$3</f>
        <v>1.7003910899506886E-4</v>
      </c>
      <c r="S3" s="4">
        <v>46089890</v>
      </c>
      <c r="T3" s="4">
        <v>22577830</v>
      </c>
    </row>
    <row r="4" spans="1:20">
      <c r="A4" s="4" t="s">
        <v>9</v>
      </c>
      <c r="B4" s="4">
        <v>529</v>
      </c>
      <c r="C4" s="33">
        <f>B4/$B$3</f>
        <v>0.18613652357494723</v>
      </c>
      <c r="D4" s="4">
        <v>818</v>
      </c>
      <c r="E4" s="4">
        <v>4377010</v>
      </c>
      <c r="F4" s="4">
        <v>2173325</v>
      </c>
      <c r="H4" s="4" t="s">
        <v>10</v>
      </c>
      <c r="I4" s="4">
        <v>619</v>
      </c>
      <c r="J4" s="33">
        <f t="shared" ref="J4:J15" si="0">I4/$I$3</f>
        <v>0.10047070280798572</v>
      </c>
      <c r="K4" s="4">
        <v>939</v>
      </c>
      <c r="L4" s="4">
        <v>5396435</v>
      </c>
      <c r="M4" s="4">
        <v>2596110</v>
      </c>
      <c r="O4" s="4" t="s">
        <v>14</v>
      </c>
      <c r="P4" s="4">
        <v>690</v>
      </c>
      <c r="Q4" s="33">
        <f t="shared" ref="Q4:Q11" si="1">P4/$P$3</f>
        <v>0.11732698520659751</v>
      </c>
      <c r="R4" s="4">
        <v>1011</v>
      </c>
      <c r="S4" s="4">
        <v>5531845</v>
      </c>
      <c r="T4" s="4">
        <v>2540340</v>
      </c>
    </row>
    <row r="5" spans="1:20">
      <c r="A5" s="4" t="s">
        <v>10</v>
      </c>
      <c r="B5" s="4">
        <v>237</v>
      </c>
      <c r="C5" s="33">
        <f t="shared" ref="C5:C16" si="2">B5/$B$3</f>
        <v>8.3391977480647431E-2</v>
      </c>
      <c r="D5" s="4">
        <v>325</v>
      </c>
      <c r="E5" s="4">
        <v>1908940</v>
      </c>
      <c r="F5" s="4">
        <v>942755</v>
      </c>
      <c r="H5" s="4" t="s">
        <v>11</v>
      </c>
      <c r="I5" s="4">
        <v>546</v>
      </c>
      <c r="J5" s="33">
        <f t="shared" si="0"/>
        <v>8.8621976951793538E-2</v>
      </c>
      <c r="K5" s="4">
        <v>855</v>
      </c>
      <c r="L5" s="4">
        <v>4014505</v>
      </c>
      <c r="M5" s="4">
        <v>1990010</v>
      </c>
      <c r="O5" s="4" t="s">
        <v>15</v>
      </c>
      <c r="P5" s="4">
        <v>473</v>
      </c>
      <c r="Q5" s="33">
        <f t="shared" si="1"/>
        <v>8.0428498554667577E-2</v>
      </c>
      <c r="R5" s="4">
        <v>675</v>
      </c>
      <c r="S5" s="4">
        <v>3571370</v>
      </c>
      <c r="T5" s="4">
        <v>1677170</v>
      </c>
    </row>
    <row r="6" spans="1:20">
      <c r="A6" s="4" t="s">
        <v>11</v>
      </c>
      <c r="B6" s="4">
        <v>318</v>
      </c>
      <c r="C6" s="33">
        <f t="shared" si="2"/>
        <v>0.11189303307529909</v>
      </c>
      <c r="D6" s="4">
        <v>467</v>
      </c>
      <c r="E6" s="4">
        <v>2357300</v>
      </c>
      <c r="F6" s="4">
        <v>1154450</v>
      </c>
      <c r="H6" s="4" t="s">
        <v>12</v>
      </c>
      <c r="I6" s="4">
        <v>451</v>
      </c>
      <c r="J6" s="33">
        <f t="shared" si="0"/>
        <v>7.3202402207433862E-2</v>
      </c>
      <c r="K6" s="4">
        <v>696</v>
      </c>
      <c r="L6" s="4">
        <v>3515930</v>
      </c>
      <c r="M6" s="4">
        <v>1742015</v>
      </c>
      <c r="O6" s="4" t="s">
        <v>16</v>
      </c>
      <c r="P6" s="4">
        <v>420</v>
      </c>
      <c r="Q6" s="33">
        <f t="shared" si="1"/>
        <v>7.1416425777928921E-2</v>
      </c>
      <c r="R6" s="4">
        <v>601</v>
      </c>
      <c r="S6" s="4">
        <v>2838000</v>
      </c>
      <c r="T6" s="4">
        <v>1371040</v>
      </c>
    </row>
    <row r="7" spans="1:20">
      <c r="A7" s="4" t="s">
        <v>12</v>
      </c>
      <c r="B7" s="4">
        <v>317</v>
      </c>
      <c r="C7" s="33">
        <f t="shared" si="2"/>
        <v>0.11154116819141449</v>
      </c>
      <c r="D7" s="4">
        <v>468</v>
      </c>
      <c r="E7" s="4">
        <v>2213530</v>
      </c>
      <c r="F7" s="4">
        <v>1063370</v>
      </c>
      <c r="H7" s="4" t="s">
        <v>13</v>
      </c>
      <c r="I7" s="4">
        <v>939</v>
      </c>
      <c r="J7" s="33">
        <f t="shared" si="0"/>
        <v>0.15241032299951307</v>
      </c>
      <c r="K7" s="4">
        <v>1579</v>
      </c>
      <c r="L7" s="4">
        <v>8754185</v>
      </c>
      <c r="M7" s="4">
        <v>4264700</v>
      </c>
      <c r="O7" s="4" t="s">
        <v>17</v>
      </c>
      <c r="P7" s="4">
        <v>999</v>
      </c>
      <c r="Q7" s="33">
        <f t="shared" si="1"/>
        <v>0.16986906988607381</v>
      </c>
      <c r="R7" s="4">
        <v>1660</v>
      </c>
      <c r="S7" s="4">
        <v>8927160</v>
      </c>
      <c r="T7" s="4">
        <v>4306665</v>
      </c>
    </row>
    <row r="8" spans="1:20">
      <c r="A8" s="4" t="s">
        <v>13</v>
      </c>
      <c r="B8" s="4">
        <v>366</v>
      </c>
      <c r="C8" s="33">
        <f t="shared" si="2"/>
        <v>0.12878254750175933</v>
      </c>
      <c r="D8" s="4">
        <v>615</v>
      </c>
      <c r="E8" s="4">
        <v>3017685</v>
      </c>
      <c r="F8" s="4">
        <v>1435610</v>
      </c>
      <c r="H8" s="4" t="s">
        <v>14</v>
      </c>
      <c r="I8" s="4">
        <v>418</v>
      </c>
      <c r="J8" s="33">
        <f t="shared" si="0"/>
        <v>6.7846128875182599E-2</v>
      </c>
      <c r="K8" s="4">
        <v>687</v>
      </c>
      <c r="L8" s="4">
        <v>3430020</v>
      </c>
      <c r="M8" s="4">
        <v>1596375</v>
      </c>
      <c r="O8" s="4" t="s">
        <v>18</v>
      </c>
      <c r="P8" s="4">
        <v>387</v>
      </c>
      <c r="Q8" s="33">
        <f t="shared" si="1"/>
        <v>6.5805135181091656E-2</v>
      </c>
      <c r="R8" s="4">
        <v>562</v>
      </c>
      <c r="S8" s="4">
        <v>3135275</v>
      </c>
      <c r="T8" s="4">
        <v>1509805</v>
      </c>
    </row>
    <row r="9" spans="1:20">
      <c r="A9" s="4" t="s">
        <v>14</v>
      </c>
      <c r="B9" s="4">
        <v>234</v>
      </c>
      <c r="C9" s="33">
        <f t="shared" si="2"/>
        <v>8.2336382828993665E-2</v>
      </c>
      <c r="D9" s="4">
        <v>339</v>
      </c>
      <c r="E9" s="4">
        <v>1575365</v>
      </c>
      <c r="F9" s="4">
        <v>740795</v>
      </c>
      <c r="H9" s="4" t="s">
        <v>15</v>
      </c>
      <c r="I9" s="4">
        <v>442</v>
      </c>
      <c r="J9" s="33">
        <f t="shared" si="0"/>
        <v>7.1741600389547147E-2</v>
      </c>
      <c r="K9" s="4">
        <v>738</v>
      </c>
      <c r="L9" s="4">
        <v>3375460</v>
      </c>
      <c r="M9" s="4">
        <v>1614635</v>
      </c>
      <c r="O9" s="4" t="s">
        <v>19</v>
      </c>
      <c r="P9" s="4">
        <v>343</v>
      </c>
      <c r="Q9" s="33">
        <f t="shared" si="1"/>
        <v>5.8323414385308622E-2</v>
      </c>
      <c r="R9" s="4">
        <v>522</v>
      </c>
      <c r="S9" s="4">
        <v>2546775</v>
      </c>
      <c r="T9" s="4">
        <v>1241075</v>
      </c>
    </row>
    <row r="10" spans="1:20">
      <c r="A10" s="4" t="s">
        <v>15</v>
      </c>
      <c r="B10" s="4">
        <v>254</v>
      </c>
      <c r="C10" s="33">
        <f t="shared" si="2"/>
        <v>8.9373680506685427E-2</v>
      </c>
      <c r="D10" s="4">
        <v>408</v>
      </c>
      <c r="E10" s="4">
        <v>1804770</v>
      </c>
      <c r="F10" s="4">
        <v>868560</v>
      </c>
      <c r="H10" s="4" t="s">
        <v>16</v>
      </c>
      <c r="I10" s="4">
        <v>430</v>
      </c>
      <c r="J10" s="33">
        <f t="shared" si="0"/>
        <v>6.979386463236488E-2</v>
      </c>
      <c r="K10" s="4">
        <v>731</v>
      </c>
      <c r="L10" s="4">
        <v>3476385</v>
      </c>
      <c r="M10" s="4">
        <v>1640210</v>
      </c>
      <c r="O10" s="4" t="s">
        <v>31</v>
      </c>
      <c r="P10" s="4">
        <v>356</v>
      </c>
      <c r="Q10" s="33">
        <f t="shared" si="1"/>
        <v>6.0533922802244518E-2</v>
      </c>
      <c r="R10" s="4">
        <v>518</v>
      </c>
      <c r="S10" s="4">
        <v>2251975</v>
      </c>
      <c r="T10" s="4">
        <v>1074480</v>
      </c>
    </row>
    <row r="11" spans="1:20">
      <c r="A11" s="4" t="s">
        <v>16</v>
      </c>
      <c r="B11" s="4">
        <v>269</v>
      </c>
      <c r="C11" s="33">
        <f t="shared" si="2"/>
        <v>9.4651653764954255E-2</v>
      </c>
      <c r="D11" s="4">
        <v>385</v>
      </c>
      <c r="E11" s="4">
        <v>1582735</v>
      </c>
      <c r="F11" s="4">
        <v>742940</v>
      </c>
      <c r="H11" s="4" t="s">
        <v>17</v>
      </c>
      <c r="I11" s="4">
        <v>885</v>
      </c>
      <c r="J11" s="33">
        <f t="shared" si="0"/>
        <v>0.14364551209219284</v>
      </c>
      <c r="K11" s="4">
        <v>1542</v>
      </c>
      <c r="L11" s="4">
        <v>8510590</v>
      </c>
      <c r="M11" s="4">
        <v>4095850</v>
      </c>
      <c r="O11" s="4" t="s">
        <v>32</v>
      </c>
      <c r="P11" s="4">
        <v>778</v>
      </c>
      <c r="Q11" s="33">
        <f t="shared" si="1"/>
        <v>0.13229042679816358</v>
      </c>
      <c r="R11" s="4">
        <v>1300</v>
      </c>
      <c r="S11" s="4">
        <v>7285410</v>
      </c>
      <c r="T11" s="4">
        <v>3469510</v>
      </c>
    </row>
    <row r="12" spans="1:20">
      <c r="A12" s="4" t="s">
        <v>17</v>
      </c>
      <c r="B12" s="4">
        <v>358</v>
      </c>
      <c r="C12" s="33">
        <f t="shared" si="2"/>
        <v>0.12596762843068263</v>
      </c>
      <c r="D12" s="4">
        <v>625</v>
      </c>
      <c r="E12" s="4">
        <v>3222065</v>
      </c>
      <c r="F12" s="4">
        <v>1519155</v>
      </c>
      <c r="H12" s="4" t="s">
        <v>18</v>
      </c>
      <c r="I12" s="4">
        <v>381</v>
      </c>
      <c r="J12" s="33">
        <f t="shared" si="0"/>
        <v>6.1840610290537251E-2</v>
      </c>
      <c r="K12" s="4">
        <v>625</v>
      </c>
      <c r="L12" s="4">
        <v>3439535</v>
      </c>
      <c r="M12" s="4">
        <v>1651705</v>
      </c>
    </row>
    <row r="13" spans="1:20">
      <c r="A13" s="4" t="s">
        <v>18</v>
      </c>
      <c r="B13" s="4">
        <v>220</v>
      </c>
      <c r="C13" s="33">
        <f t="shared" si="2"/>
        <v>7.7410274454609435E-2</v>
      </c>
      <c r="D13" s="4">
        <v>323</v>
      </c>
      <c r="E13" s="4">
        <v>1638945</v>
      </c>
      <c r="F13" s="4">
        <v>766755</v>
      </c>
      <c r="H13" s="4" t="s">
        <v>19</v>
      </c>
      <c r="I13" s="4">
        <v>384</v>
      </c>
      <c r="J13" s="33">
        <f t="shared" si="0"/>
        <v>6.2327544229832818E-2</v>
      </c>
      <c r="K13" s="4">
        <v>654</v>
      </c>
      <c r="L13" s="4">
        <v>3467475</v>
      </c>
      <c r="M13" s="4">
        <v>1650495</v>
      </c>
    </row>
    <row r="14" spans="1:20">
      <c r="A14" s="4" t="s">
        <v>19</v>
      </c>
      <c r="B14" s="4">
        <v>224</v>
      </c>
      <c r="C14" s="33">
        <f t="shared" si="2"/>
        <v>7.8817733990147784E-2</v>
      </c>
      <c r="D14" s="4">
        <v>338</v>
      </c>
      <c r="E14" s="4">
        <v>1742675</v>
      </c>
      <c r="F14" s="4">
        <v>828905</v>
      </c>
      <c r="H14" s="4" t="s">
        <v>31</v>
      </c>
      <c r="I14" s="4">
        <v>351</v>
      </c>
      <c r="J14" s="33">
        <f t="shared" si="0"/>
        <v>5.6971270897581562E-2</v>
      </c>
      <c r="K14" s="4">
        <v>561</v>
      </c>
      <c r="L14" s="4">
        <v>2413840</v>
      </c>
      <c r="M14" s="4">
        <v>1158025</v>
      </c>
    </row>
    <row r="15" spans="1:20">
      <c r="A15" s="4" t="s">
        <v>31</v>
      </c>
      <c r="B15" s="4">
        <v>230</v>
      </c>
      <c r="C15" s="33">
        <f t="shared" si="2"/>
        <v>8.0928923293455315E-2</v>
      </c>
      <c r="D15" s="4">
        <v>349</v>
      </c>
      <c r="E15" s="4">
        <v>1446720</v>
      </c>
      <c r="F15" s="4">
        <v>692780</v>
      </c>
      <c r="H15" s="4" t="s">
        <v>32</v>
      </c>
      <c r="I15" s="4">
        <v>743</v>
      </c>
      <c r="J15" s="33">
        <f t="shared" si="0"/>
        <v>0.12059730563220257</v>
      </c>
      <c r="K15" s="4">
        <v>1364</v>
      </c>
      <c r="L15" s="4">
        <v>7542645</v>
      </c>
      <c r="M15" s="4">
        <v>3669875</v>
      </c>
    </row>
    <row r="16" spans="1:20">
      <c r="A16" s="4" t="s">
        <v>32</v>
      </c>
      <c r="B16" s="4">
        <v>311</v>
      </c>
      <c r="C16" s="33">
        <f t="shared" si="2"/>
        <v>0.10942997888810696</v>
      </c>
      <c r="D16" s="4">
        <v>523</v>
      </c>
      <c r="E16" s="4">
        <v>2693735</v>
      </c>
      <c r="F16" s="4">
        <v>1293325</v>
      </c>
    </row>
    <row r="21" spans="6:12">
      <c r="F21" s="7" t="s">
        <v>33</v>
      </c>
      <c r="G21" s="8"/>
      <c r="H21" s="8"/>
      <c r="I21" s="8"/>
      <c r="J21" s="8"/>
      <c r="K21" s="8"/>
      <c r="L21" s="9"/>
    </row>
    <row r="22" spans="6:12">
      <c r="F22" s="10"/>
      <c r="G22" s="6"/>
      <c r="H22" s="6"/>
      <c r="I22" s="6"/>
      <c r="J22" s="6"/>
      <c r="K22" s="6"/>
      <c r="L22" s="11"/>
    </row>
    <row r="23" spans="6:12">
      <c r="F23" s="10"/>
      <c r="G23" s="6"/>
      <c r="H23" s="6"/>
      <c r="I23" s="6"/>
      <c r="J23" s="6"/>
      <c r="K23" s="6"/>
      <c r="L23" s="11"/>
    </row>
    <row r="24" spans="6:12">
      <c r="F24" s="10"/>
      <c r="G24" s="6"/>
      <c r="H24" s="6"/>
      <c r="I24" s="6"/>
      <c r="J24" s="6"/>
      <c r="K24" s="6"/>
      <c r="L24" s="11"/>
    </row>
    <row r="25" spans="6:12">
      <c r="F25" s="10"/>
      <c r="G25" s="6"/>
      <c r="H25" s="6"/>
      <c r="I25" s="6"/>
      <c r="J25" s="6"/>
      <c r="K25" s="6"/>
      <c r="L25" s="11"/>
    </row>
    <row r="26" spans="6:12">
      <c r="F26" s="10"/>
      <c r="G26" s="6"/>
      <c r="H26" s="6"/>
      <c r="I26" s="6"/>
      <c r="J26" s="6"/>
      <c r="K26" s="6"/>
      <c r="L26" s="11"/>
    </row>
    <row r="27" spans="6:12">
      <c r="F27" s="12"/>
      <c r="G27" s="13"/>
      <c r="H27" s="13"/>
      <c r="I27" s="13"/>
      <c r="J27" s="13"/>
      <c r="K27" s="13"/>
      <c r="L27" s="14"/>
    </row>
  </sheetData>
  <mergeCells count="1">
    <mergeCell ref="F21:L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A02E-F995-43AE-B96F-82AEB92BDDA9}">
  <dimension ref="A1:K17"/>
  <sheetViews>
    <sheetView workbookViewId="0">
      <selection activeCell="L17" sqref="L17"/>
    </sheetView>
  </sheetViews>
  <sheetFormatPr defaultRowHeight="15"/>
  <cols>
    <col min="1" max="1" width="36.5703125" bestFit="1" customWidth="1"/>
  </cols>
  <sheetData>
    <row r="1" spans="1:11" ht="45.75">
      <c r="A1" s="22" t="s">
        <v>34</v>
      </c>
    </row>
    <row r="3" spans="1:11">
      <c r="A3" t="s">
        <v>4</v>
      </c>
    </row>
    <row r="4" spans="1:11">
      <c r="A4" s="1"/>
      <c r="B4" s="1">
        <v>2021</v>
      </c>
      <c r="C4" s="1">
        <v>2022</v>
      </c>
      <c r="D4" s="1">
        <v>2023</v>
      </c>
      <c r="E4" s="1">
        <v>2024</v>
      </c>
    </row>
    <row r="5" spans="1:11">
      <c r="A5" s="2" t="s">
        <v>35</v>
      </c>
      <c r="B5" s="2">
        <v>75539904</v>
      </c>
      <c r="C5" s="2">
        <v>61713305.5</v>
      </c>
      <c r="D5" s="2">
        <v>57535362.5</v>
      </c>
      <c r="E5" s="2">
        <v>55477922.5</v>
      </c>
    </row>
    <row r="6" spans="1:11">
      <c r="A6" s="2">
        <v>2021</v>
      </c>
      <c r="B6" s="2">
        <v>131869556.5</v>
      </c>
      <c r="C6" s="2">
        <v>52597105</v>
      </c>
      <c r="D6" s="2">
        <v>45025838</v>
      </c>
      <c r="E6" s="2">
        <v>41006845</v>
      </c>
    </row>
    <row r="7" spans="1:11">
      <c r="A7" s="2">
        <v>2022</v>
      </c>
      <c r="B7" s="2">
        <v>0</v>
      </c>
      <c r="C7" s="2">
        <v>106151952.5</v>
      </c>
      <c r="D7" s="2">
        <v>40414088</v>
      </c>
      <c r="E7" s="2">
        <v>31974173</v>
      </c>
    </row>
    <row r="8" spans="1:11">
      <c r="A8" s="2">
        <v>2023</v>
      </c>
      <c r="B8" s="2">
        <v>0</v>
      </c>
      <c r="C8" s="2">
        <v>0</v>
      </c>
      <c r="D8" s="2">
        <v>123174634</v>
      </c>
      <c r="E8" s="2">
        <v>44414436</v>
      </c>
    </row>
    <row r="9" spans="1:11">
      <c r="A9" s="2">
        <v>2024</v>
      </c>
      <c r="B9" s="2">
        <v>0</v>
      </c>
      <c r="C9" s="2">
        <v>0</v>
      </c>
      <c r="D9" s="2">
        <v>0</v>
      </c>
      <c r="E9" s="2">
        <v>152727327.5</v>
      </c>
    </row>
    <row r="12" spans="1:11">
      <c r="D12" s="7" t="s">
        <v>36</v>
      </c>
      <c r="E12" s="8"/>
      <c r="F12" s="8"/>
      <c r="G12" s="8"/>
      <c r="H12" s="8"/>
      <c r="I12" s="8"/>
      <c r="J12" s="8"/>
      <c r="K12" s="9"/>
    </row>
    <row r="13" spans="1:11">
      <c r="D13" s="10"/>
      <c r="E13" s="6"/>
      <c r="F13" s="6"/>
      <c r="G13" s="6"/>
      <c r="H13" s="6"/>
      <c r="I13" s="6"/>
      <c r="J13" s="6"/>
      <c r="K13" s="11"/>
    </row>
    <row r="14" spans="1:11">
      <c r="D14" s="10"/>
      <c r="E14" s="6"/>
      <c r="F14" s="6"/>
      <c r="G14" s="6"/>
      <c r="H14" s="6"/>
      <c r="I14" s="6"/>
      <c r="J14" s="6"/>
      <c r="K14" s="11"/>
    </row>
    <row r="15" spans="1:11">
      <c r="D15" s="10"/>
      <c r="E15" s="6"/>
      <c r="F15" s="6"/>
      <c r="G15" s="6"/>
      <c r="H15" s="6"/>
      <c r="I15" s="6"/>
      <c r="J15" s="6"/>
      <c r="K15" s="11"/>
    </row>
    <row r="16" spans="1:11">
      <c r="D16" s="10"/>
      <c r="E16" s="6"/>
      <c r="F16" s="6"/>
      <c r="G16" s="6"/>
      <c r="H16" s="6"/>
      <c r="I16" s="6"/>
      <c r="J16" s="6"/>
      <c r="K16" s="11"/>
    </row>
    <row r="17" spans="4:11">
      <c r="D17" s="12"/>
      <c r="E17" s="13"/>
      <c r="F17" s="13"/>
      <c r="G17" s="13"/>
      <c r="H17" s="13"/>
      <c r="I17" s="13"/>
      <c r="J17" s="13"/>
      <c r="K17" s="14"/>
    </row>
  </sheetData>
  <mergeCells count="1">
    <mergeCell ref="D12:K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2026-03-11T14:53:02Z</dcterms:created>
  <dcterms:modified xsi:type="dcterms:W3CDTF">2026-03-11T15:43:05Z</dcterms:modified>
  <cp:category/>
  <cp:contentStatus/>
</cp:coreProperties>
</file>